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 工作文档\02 交付件\100 印尼\03 Routine\00 宏观数据\"/>
    </mc:Choice>
  </mc:AlternateContent>
  <xr:revisionPtr revIDLastSave="0" documentId="8_{7A6047AE-2B3E-4BF0-9BC9-98E0BC359C6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2P- Major Player Tracking" sheetId="1" r:id="rId1"/>
    <sheet name="P2P-Tadpole Tracking" sheetId="2" r:id="rId2"/>
    <sheet name="MF Tracking" sheetId="3" state="hidden" r:id="rId3"/>
    <sheet name="model-wp" sheetId="7" state="hidden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2" i="7" l="1"/>
  <c r="F42" i="7"/>
  <c r="F41" i="7"/>
  <c r="E40" i="7"/>
  <c r="M36" i="7"/>
  <c r="L36" i="7"/>
  <c r="K36" i="7"/>
  <c r="J36" i="7"/>
  <c r="F36" i="7"/>
  <c r="F35" i="7"/>
  <c r="F34" i="7"/>
  <c r="C20" i="7"/>
  <c r="C21" i="7" s="1"/>
  <c r="B20" i="7"/>
  <c r="B21" i="7" s="1"/>
  <c r="E19" i="7"/>
  <c r="D19" i="7"/>
  <c r="F18" i="7"/>
  <c r="F20" i="7" s="1"/>
  <c r="F21" i="7" s="1"/>
  <c r="E18" i="7"/>
  <c r="E20" i="7" s="1"/>
  <c r="E21" i="7" s="1"/>
  <c r="D18" i="7"/>
  <c r="D20" i="7" s="1"/>
  <c r="D21" i="7" s="1"/>
  <c r="C18" i="7"/>
  <c r="C19" i="7" s="1"/>
  <c r="B18" i="7"/>
  <c r="B19" i="7" s="1"/>
  <c r="H16" i="7"/>
  <c r="I16" i="7" s="1"/>
  <c r="J16" i="7" s="1"/>
  <c r="G16" i="7"/>
  <c r="D13" i="7"/>
  <c r="G10" i="7"/>
  <c r="F10" i="7"/>
  <c r="F11" i="7" s="1"/>
  <c r="E10" i="7"/>
  <c r="E11" i="7" s="1"/>
  <c r="D10" i="7"/>
  <c r="D11" i="7" s="1"/>
  <c r="D5" i="7"/>
  <c r="C5" i="7"/>
  <c r="C22" i="7" s="1"/>
  <c r="G4" i="7"/>
  <c r="G5" i="7" s="1"/>
  <c r="F4" i="7"/>
  <c r="F5" i="7" s="1"/>
  <c r="E4" i="7"/>
  <c r="E5" i="7" s="1"/>
  <c r="D4" i="7"/>
  <c r="C4" i="7"/>
  <c r="B4" i="7"/>
  <c r="B5" i="7" s="1"/>
  <c r="B22" i="7" s="1"/>
  <c r="G3" i="7"/>
  <c r="F3" i="7"/>
  <c r="E3" i="7"/>
  <c r="D3" i="7"/>
  <c r="C3" i="7"/>
  <c r="B3" i="7"/>
  <c r="I58" i="3"/>
  <c r="H58" i="3"/>
  <c r="I57" i="3"/>
  <c r="H57" i="3"/>
  <c r="G57" i="3"/>
  <c r="F57" i="3"/>
  <c r="E57" i="3"/>
  <c r="I52" i="3"/>
  <c r="H52" i="3"/>
  <c r="G52" i="3"/>
  <c r="F52" i="3"/>
  <c r="I42" i="3"/>
  <c r="H42" i="3"/>
  <c r="G42" i="3"/>
  <c r="F42" i="3"/>
  <c r="E42" i="3"/>
  <c r="I41" i="3"/>
  <c r="H41" i="3"/>
  <c r="G41" i="3"/>
  <c r="F41" i="3"/>
  <c r="E41" i="3"/>
  <c r="I40" i="3"/>
  <c r="H40" i="3"/>
  <c r="G40" i="3"/>
  <c r="F40" i="3"/>
  <c r="E40" i="3"/>
  <c r="I39" i="3"/>
  <c r="H39" i="3"/>
  <c r="G39" i="3"/>
  <c r="F39" i="3"/>
  <c r="E39" i="3"/>
  <c r="I38" i="3"/>
  <c r="H38" i="3"/>
  <c r="G38" i="3"/>
  <c r="F38" i="3"/>
  <c r="E38" i="3"/>
  <c r="I37" i="3"/>
  <c r="H37" i="3"/>
  <c r="I36" i="3"/>
  <c r="H36" i="3"/>
  <c r="G36" i="3"/>
  <c r="F36" i="3"/>
  <c r="E36" i="3"/>
  <c r="I35" i="3"/>
  <c r="H35" i="3"/>
  <c r="G35" i="3"/>
  <c r="F35" i="3"/>
  <c r="E35" i="3"/>
  <c r="I34" i="3"/>
  <c r="H34" i="3"/>
  <c r="G34" i="3"/>
  <c r="F34" i="3"/>
  <c r="E34" i="3"/>
  <c r="I33" i="3"/>
  <c r="H33" i="3"/>
  <c r="G33" i="3"/>
  <c r="F33" i="3"/>
  <c r="E33" i="3"/>
  <c r="J32" i="3"/>
  <c r="I32" i="3"/>
  <c r="H32" i="3"/>
  <c r="G32" i="3"/>
  <c r="F32" i="3"/>
  <c r="E32" i="3"/>
  <c r="I31" i="3"/>
  <c r="H31" i="3"/>
  <c r="G31" i="3"/>
  <c r="F31" i="3"/>
  <c r="E31" i="3"/>
  <c r="I30" i="3"/>
  <c r="H30" i="3"/>
  <c r="G30" i="3"/>
  <c r="F30" i="3"/>
  <c r="E30" i="3"/>
  <c r="J29" i="3"/>
  <c r="J28" i="3"/>
  <c r="I28" i="3"/>
  <c r="H28" i="3"/>
  <c r="G28" i="3"/>
  <c r="F28" i="3"/>
  <c r="E28" i="3"/>
  <c r="I17" i="3"/>
  <c r="H17" i="3"/>
  <c r="G17" i="3"/>
  <c r="F17" i="3"/>
  <c r="E17" i="3"/>
  <c r="I11" i="3"/>
  <c r="H11" i="3"/>
  <c r="G11" i="3"/>
  <c r="F11" i="3"/>
  <c r="E11" i="3"/>
  <c r="I10" i="3"/>
  <c r="H10" i="3"/>
  <c r="F10" i="3"/>
  <c r="E10" i="3"/>
  <c r="I9" i="3"/>
  <c r="H9" i="3"/>
  <c r="G9" i="3"/>
  <c r="F9" i="3"/>
  <c r="E9" i="3"/>
  <c r="J8" i="3"/>
  <c r="I8" i="3"/>
  <c r="H8" i="3"/>
  <c r="G8" i="3"/>
  <c r="F8" i="3"/>
  <c r="E8" i="3"/>
  <c r="J7" i="3"/>
  <c r="I7" i="3"/>
  <c r="H7" i="3"/>
  <c r="G7" i="3"/>
  <c r="F7" i="3"/>
  <c r="E7" i="3"/>
  <c r="I6" i="3"/>
  <c r="H6" i="3"/>
  <c r="G6" i="3"/>
  <c r="F6" i="3"/>
  <c r="E6" i="3"/>
  <c r="I5" i="3"/>
  <c r="H5" i="3"/>
  <c r="G5" i="3"/>
  <c r="F5" i="3"/>
  <c r="E5" i="3"/>
  <c r="J4" i="3"/>
  <c r="I3" i="3"/>
  <c r="H3" i="3"/>
  <c r="G3" i="3"/>
  <c r="F3" i="3"/>
  <c r="E3" i="3"/>
  <c r="F18" i="2"/>
  <c r="E18" i="2"/>
  <c r="D18" i="2"/>
  <c r="C18" i="2"/>
  <c r="F15" i="2"/>
  <c r="E15" i="2"/>
  <c r="D15" i="2"/>
  <c r="C15" i="2"/>
  <c r="F14" i="2"/>
  <c r="E14" i="2"/>
  <c r="D14" i="2"/>
  <c r="C14" i="2"/>
  <c r="F13" i="2"/>
  <c r="E13" i="2"/>
  <c r="D13" i="2"/>
  <c r="C13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T44" i="1"/>
  <c r="AJ32" i="1"/>
  <c r="AI32" i="1"/>
  <c r="AH32" i="1"/>
  <c r="AJ31" i="1"/>
  <c r="AI31" i="1"/>
  <c r="AH31" i="1"/>
  <c r="AG31" i="1"/>
  <c r="O31" i="1"/>
  <c r="N31" i="1"/>
  <c r="I31" i="1"/>
  <c r="H31" i="1"/>
  <c r="G31" i="1"/>
  <c r="F31" i="1"/>
  <c r="Q30" i="1"/>
  <c r="N30" i="1"/>
  <c r="M30" i="1"/>
  <c r="L30" i="1"/>
  <c r="I30" i="1"/>
  <c r="H30" i="1"/>
  <c r="G30" i="1"/>
  <c r="F30" i="1"/>
  <c r="AE29" i="1"/>
  <c r="AD29" i="1"/>
  <c r="AC29" i="1"/>
  <c r="AA29" i="1"/>
  <c r="Z29" i="1"/>
  <c r="Y29" i="1"/>
  <c r="X29" i="1"/>
  <c r="W29" i="1"/>
  <c r="V29" i="1"/>
  <c r="T29" i="1"/>
  <c r="N29" i="1"/>
  <c r="M29" i="1"/>
  <c r="L29" i="1"/>
  <c r="I29" i="1"/>
  <c r="H29" i="1"/>
  <c r="G29" i="1"/>
  <c r="F29" i="1"/>
  <c r="AA28" i="1"/>
  <c r="Z28" i="1"/>
  <c r="Y28" i="1"/>
  <c r="X28" i="1"/>
  <c r="W28" i="1"/>
  <c r="V28" i="1"/>
  <c r="T28" i="1"/>
  <c r="Q28" i="1"/>
  <c r="O28" i="1"/>
  <c r="N28" i="1"/>
  <c r="M28" i="1"/>
  <c r="I28" i="1"/>
  <c r="H28" i="1"/>
  <c r="G28" i="1"/>
  <c r="F28" i="1"/>
  <c r="AH27" i="1"/>
  <c r="AG27" i="1"/>
  <c r="AD27" i="1"/>
  <c r="AC27" i="1"/>
  <c r="AA27" i="1"/>
  <c r="Z27" i="1"/>
  <c r="Y27" i="1"/>
  <c r="X27" i="1"/>
  <c r="W27" i="1"/>
  <c r="V27" i="1"/>
  <c r="T27" i="1"/>
  <c r="Q27" i="1"/>
  <c r="N27" i="1"/>
  <c r="M27" i="1"/>
  <c r="L27" i="1"/>
  <c r="K27" i="1"/>
  <c r="I27" i="1"/>
  <c r="H27" i="1"/>
  <c r="G27" i="1"/>
  <c r="F27" i="1"/>
  <c r="M26" i="1"/>
  <c r="L26" i="1"/>
  <c r="I26" i="1"/>
  <c r="H26" i="1"/>
  <c r="G26" i="1"/>
  <c r="F26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T25" i="1"/>
  <c r="Q25" i="1"/>
  <c r="N25" i="1"/>
  <c r="M25" i="1"/>
  <c r="L25" i="1"/>
  <c r="K25" i="1"/>
  <c r="I25" i="1"/>
  <c r="H25" i="1"/>
  <c r="G25" i="1"/>
  <c r="F25" i="1"/>
  <c r="E25" i="1"/>
  <c r="D25" i="1"/>
  <c r="C25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T24" i="1"/>
  <c r="N24" i="1"/>
  <c r="M24" i="1"/>
  <c r="L24" i="1"/>
  <c r="K24" i="1"/>
  <c r="I24" i="1"/>
  <c r="H24" i="1"/>
  <c r="G24" i="1"/>
  <c r="F24" i="1"/>
  <c r="E24" i="1"/>
  <c r="D24" i="1"/>
  <c r="C24" i="1"/>
  <c r="AJ23" i="1"/>
  <c r="AI23" i="1"/>
  <c r="AH23" i="1"/>
  <c r="AG23" i="1"/>
  <c r="AF23" i="1"/>
  <c r="AE23" i="1"/>
  <c r="AD23" i="1"/>
  <c r="AC23" i="1"/>
  <c r="AA23" i="1"/>
  <c r="Z23" i="1"/>
  <c r="Y23" i="1"/>
  <c r="X23" i="1"/>
  <c r="W23" i="1"/>
  <c r="V23" i="1"/>
  <c r="T23" i="1"/>
  <c r="Q23" i="1"/>
  <c r="L23" i="1"/>
  <c r="K23" i="1"/>
  <c r="I23" i="1"/>
  <c r="H23" i="1"/>
  <c r="G23" i="1"/>
  <c r="F23" i="1"/>
  <c r="E23" i="1"/>
  <c r="D23" i="1"/>
  <c r="C23" i="1"/>
  <c r="AJ22" i="1"/>
  <c r="AI22" i="1"/>
  <c r="AH22" i="1"/>
  <c r="AG22" i="1"/>
  <c r="AF22" i="1"/>
  <c r="AE22" i="1"/>
  <c r="AD22" i="1"/>
  <c r="AC22" i="1"/>
  <c r="AA22" i="1"/>
  <c r="Z22" i="1"/>
  <c r="Y22" i="1"/>
  <c r="X22" i="1"/>
  <c r="W22" i="1"/>
  <c r="V22" i="1"/>
  <c r="T22" i="1"/>
  <c r="Q22" i="1"/>
  <c r="N22" i="1"/>
  <c r="M22" i="1"/>
  <c r="L22" i="1"/>
  <c r="K22" i="1"/>
  <c r="I22" i="1"/>
  <c r="H22" i="1"/>
  <c r="G22" i="1"/>
  <c r="F22" i="1"/>
  <c r="E22" i="1"/>
  <c r="D22" i="1"/>
  <c r="C22" i="1"/>
  <c r="AJ21" i="1"/>
  <c r="AI21" i="1"/>
  <c r="AH21" i="1"/>
  <c r="AG21" i="1"/>
  <c r="AF21" i="1"/>
  <c r="AE21" i="1"/>
  <c r="AD21" i="1"/>
  <c r="AC21" i="1"/>
  <c r="AA21" i="1"/>
  <c r="Z21" i="1"/>
  <c r="Y21" i="1"/>
  <c r="X21" i="1"/>
  <c r="W21" i="1"/>
  <c r="V21" i="1"/>
  <c r="U21" i="1"/>
  <c r="T21" i="1"/>
  <c r="S21" i="1"/>
  <c r="J21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Q20" i="1"/>
  <c r="N20" i="1"/>
  <c r="M20" i="1"/>
  <c r="L20" i="1"/>
  <c r="K20" i="1"/>
  <c r="I20" i="1"/>
  <c r="I3" i="1" s="1"/>
  <c r="H20" i="1"/>
  <c r="G20" i="1"/>
  <c r="F20" i="1"/>
  <c r="E20" i="1"/>
  <c r="D20" i="1"/>
  <c r="C20" i="1"/>
  <c r="R19" i="1"/>
  <c r="L19" i="1"/>
  <c r="J19" i="1"/>
  <c r="AJ17" i="1"/>
  <c r="AI17" i="1"/>
  <c r="AH17" i="1"/>
  <c r="AJ16" i="1"/>
  <c r="AI16" i="1"/>
  <c r="AH16" i="1"/>
  <c r="AF16" i="1"/>
  <c r="AE16" i="1"/>
  <c r="AD16" i="1"/>
  <c r="AC16" i="1"/>
  <c r="AA16" i="1"/>
  <c r="Z16" i="1"/>
  <c r="Y16" i="1"/>
  <c r="X16" i="1"/>
  <c r="W16" i="1"/>
  <c r="V16" i="1"/>
  <c r="T16" i="1"/>
  <c r="O16" i="1"/>
  <c r="N16" i="1"/>
  <c r="J16" i="1"/>
  <c r="I16" i="1"/>
  <c r="H16" i="1"/>
  <c r="G16" i="1"/>
  <c r="F16" i="1"/>
  <c r="Q15" i="1"/>
  <c r="N15" i="1"/>
  <c r="M15" i="1"/>
  <c r="L15" i="1"/>
  <c r="J15" i="1"/>
  <c r="I15" i="1"/>
  <c r="H15" i="1"/>
  <c r="G15" i="1"/>
  <c r="F15" i="1"/>
  <c r="AE14" i="1"/>
  <c r="AD14" i="1"/>
  <c r="AC14" i="1"/>
  <c r="Y14" i="1"/>
  <c r="X14" i="1"/>
  <c r="W14" i="1"/>
  <c r="V14" i="1"/>
  <c r="T14" i="1"/>
  <c r="Q14" i="1"/>
  <c r="N14" i="1"/>
  <c r="M14" i="1"/>
  <c r="L14" i="1"/>
  <c r="J14" i="1"/>
  <c r="I14" i="1"/>
  <c r="H14" i="1"/>
  <c r="G14" i="1"/>
  <c r="F14" i="1"/>
  <c r="AD13" i="1"/>
  <c r="AC13" i="1"/>
  <c r="AA13" i="1"/>
  <c r="Z13" i="1"/>
  <c r="Y13" i="1"/>
  <c r="X13" i="1"/>
  <c r="W13" i="1"/>
  <c r="V13" i="1"/>
  <c r="T13" i="1"/>
  <c r="Q13" i="1"/>
  <c r="N13" i="1"/>
  <c r="M13" i="1"/>
  <c r="L13" i="1"/>
  <c r="J13" i="1"/>
  <c r="I13" i="1"/>
  <c r="H13" i="1"/>
  <c r="G13" i="1"/>
  <c r="F13" i="1"/>
  <c r="AJ12" i="1"/>
  <c r="AI12" i="1"/>
  <c r="AH12" i="1"/>
  <c r="AG12" i="1"/>
  <c r="AD12" i="1"/>
  <c r="AC12" i="1"/>
  <c r="AA12" i="1"/>
  <c r="Z12" i="1"/>
  <c r="Y12" i="1"/>
  <c r="X12" i="1"/>
  <c r="W12" i="1"/>
  <c r="V12" i="1"/>
  <c r="T12" i="1"/>
  <c r="Q12" i="1"/>
  <c r="L12" i="1"/>
  <c r="K12" i="1"/>
  <c r="J12" i="1"/>
  <c r="I12" i="1"/>
  <c r="H12" i="1"/>
  <c r="G12" i="1"/>
  <c r="F12" i="1"/>
  <c r="Q11" i="1"/>
  <c r="N11" i="1"/>
  <c r="M11" i="1"/>
  <c r="L11" i="1"/>
  <c r="K11" i="1"/>
  <c r="J11" i="1"/>
  <c r="I11" i="1"/>
  <c r="H11" i="1"/>
  <c r="G11" i="1"/>
  <c r="F11" i="1"/>
  <c r="V10" i="1" a="1"/>
  <c r="V10" i="1" s="1"/>
  <c r="T10" i="1"/>
  <c r="Q10" i="1"/>
  <c r="N10" i="1"/>
  <c r="L10" i="1"/>
  <c r="K10" i="1"/>
  <c r="J10" i="1"/>
  <c r="I10" i="1"/>
  <c r="H10" i="1"/>
  <c r="G10" i="1"/>
  <c r="F10" i="1"/>
  <c r="E10" i="1"/>
  <c r="D10" i="1"/>
  <c r="C10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T9" i="1"/>
  <c r="Q9" i="1"/>
  <c r="N9" i="1"/>
  <c r="M9" i="1"/>
  <c r="L9" i="1"/>
  <c r="K9" i="1"/>
  <c r="J9" i="1"/>
  <c r="I9" i="1"/>
  <c r="H9" i="1"/>
  <c r="G9" i="1"/>
  <c r="F9" i="1"/>
  <c r="E9" i="1"/>
  <c r="D9" i="1"/>
  <c r="C9" i="1"/>
  <c r="AJ8" i="1"/>
  <c r="AI8" i="1"/>
  <c r="AH8" i="1"/>
  <c r="AG8" i="1"/>
  <c r="AF8" i="1"/>
  <c r="AE8" i="1"/>
  <c r="AD8" i="1"/>
  <c r="AC8" i="1"/>
  <c r="AA8" i="1"/>
  <c r="Z8" i="1"/>
  <c r="Y8" i="1"/>
  <c r="X8" i="1"/>
  <c r="W8" i="1"/>
  <c r="V8" i="1"/>
  <c r="T8" i="1"/>
  <c r="Q8" i="1"/>
  <c r="L8" i="1"/>
  <c r="K8" i="1"/>
  <c r="J8" i="1"/>
  <c r="I8" i="1"/>
  <c r="H8" i="1"/>
  <c r="G8" i="1"/>
  <c r="F8" i="1"/>
  <c r="E8" i="1"/>
  <c r="D8" i="1"/>
  <c r="C8" i="1"/>
  <c r="AJ7" i="1"/>
  <c r="AI7" i="1"/>
  <c r="AH7" i="1"/>
  <c r="AG7" i="1"/>
  <c r="AF7" i="1"/>
  <c r="AE7" i="1"/>
  <c r="AD7" i="1"/>
  <c r="AC7" i="1"/>
  <c r="AA7" i="1"/>
  <c r="Z7" i="1"/>
  <c r="Y7" i="1"/>
  <c r="X7" i="1"/>
  <c r="W7" i="1"/>
  <c r="V7" i="1"/>
  <c r="T7" i="1"/>
  <c r="Q7" i="1"/>
  <c r="N7" i="1"/>
  <c r="M7" i="1"/>
  <c r="L7" i="1"/>
  <c r="K7" i="1"/>
  <c r="J7" i="1"/>
  <c r="I7" i="1"/>
  <c r="H7" i="1"/>
  <c r="G7" i="1"/>
  <c r="F7" i="1"/>
  <c r="E7" i="1"/>
  <c r="D7" i="1"/>
  <c r="AJ6" i="1"/>
  <c r="AI6" i="1"/>
  <c r="AH6" i="1"/>
  <c r="AG6" i="1"/>
  <c r="AF6" i="1"/>
  <c r="AE6" i="1"/>
  <c r="AD6" i="1"/>
  <c r="AC6" i="1"/>
  <c r="AA6" i="1"/>
  <c r="Z6" i="1"/>
  <c r="Y6" i="1"/>
  <c r="X6" i="1"/>
  <c r="W6" i="1"/>
  <c r="V6" i="1"/>
  <c r="T6" i="1"/>
  <c r="S6" i="1"/>
  <c r="R6" i="1"/>
  <c r="H6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Q5" i="1"/>
  <c r="N5" i="1"/>
  <c r="L5" i="1"/>
  <c r="K5" i="1"/>
  <c r="I5" i="1"/>
  <c r="H5" i="1"/>
  <c r="G5" i="1"/>
  <c r="F5" i="1"/>
  <c r="E5" i="1"/>
  <c r="D5" i="1"/>
  <c r="F19" i="7" l="1"/>
  <c r="G11" i="7"/>
  <c r="G18" i="7"/>
  <c r="E13" i="7"/>
  <c r="F13" i="7"/>
  <c r="G13" i="7"/>
  <c r="H13" i="7" s="1"/>
  <c r="G20" i="7" l="1"/>
  <c r="G21" i="7" s="1"/>
  <c r="H18" i="7"/>
  <c r="G19" i="7"/>
  <c r="G22" i="7" s="1"/>
  <c r="H20" i="7" l="1"/>
  <c r="H21" i="7" s="1"/>
  <c r="I18" i="7"/>
  <c r="H19" i="7"/>
  <c r="J18" i="7" l="1"/>
  <c r="I19" i="7"/>
  <c r="I20" i="7"/>
  <c r="I21" i="7" s="1"/>
  <c r="D28" i="7"/>
  <c r="D29" i="7"/>
  <c r="E28" i="7" l="1"/>
  <c r="E29" i="7"/>
  <c r="J19" i="7"/>
  <c r="J20" i="7"/>
  <c r="J21" i="7" s="1"/>
  <c r="F28" i="7" l="1"/>
  <c r="F29" i="7"/>
</calcChain>
</file>

<file path=xl/sharedStrings.xml><?xml version="1.0" encoding="utf-8"?>
<sst xmlns="http://schemas.openxmlformats.org/spreadsheetml/2006/main" count="1014" uniqueCount="584">
  <si>
    <t>BRI</t>
  </si>
  <si>
    <t xml:space="preserve"> (USD Bn)</t>
  </si>
  <si>
    <t>为保持数据可比性</t>
  </si>
  <si>
    <t>usd to idr =</t>
  </si>
  <si>
    <t>AdaKami</t>
  </si>
  <si>
    <t>竞品 当年Disbursement (US$ B)</t>
  </si>
  <si>
    <t>2024.4.7</t>
  </si>
  <si>
    <t>2024.4.26</t>
  </si>
  <si>
    <t>2024.6.12</t>
  </si>
  <si>
    <t>2024.7.1</t>
  </si>
  <si>
    <t>2024.9.6</t>
  </si>
  <si>
    <t>2024.9.23</t>
  </si>
  <si>
    <t>2024.10.9</t>
  </si>
  <si>
    <t>2024.12.5</t>
  </si>
  <si>
    <t>2024.12.31</t>
  </si>
  <si>
    <t>2025.2.14</t>
  </si>
  <si>
    <t>2025.4.23</t>
  </si>
  <si>
    <t>2025.5.20</t>
  </si>
  <si>
    <t>2025.6.16</t>
  </si>
  <si>
    <t>2025.8.11</t>
  </si>
  <si>
    <t>2025.9.15</t>
  </si>
  <si>
    <t>2025.10.28</t>
  </si>
  <si>
    <t>2025.11.13</t>
  </si>
  <si>
    <t>2025.12.16</t>
  </si>
  <si>
    <t>2026.1.14</t>
  </si>
  <si>
    <t>2026.2.13</t>
  </si>
  <si>
    <t>2026.4.27</t>
  </si>
  <si>
    <t>2026.5.15</t>
  </si>
  <si>
    <t>https://www.adakami.id/about</t>
  </si>
  <si>
    <t>https://www.lenteradana.co.id/statistic</t>
  </si>
  <si>
    <t>LENTERA DANA NUSANTARA (Shopee Loan)</t>
  </si>
  <si>
    <t>Kredifazz</t>
  </si>
  <si>
    <t>Akulaku (Asetku cash loan)</t>
  </si>
  <si>
    <t>官网数据清零了</t>
  </si>
  <si>
    <t>Easycash</t>
  </si>
  <si>
    <t>已更新至2024</t>
  </si>
  <si>
    <t>UangMe</t>
  </si>
  <si>
    <t>Julo</t>
  </si>
  <si>
    <t>/</t>
  </si>
  <si>
    <t>s</t>
  </si>
  <si>
    <t>未更</t>
  </si>
  <si>
    <t>Maucash</t>
  </si>
  <si>
    <t>未更(as of Sep 2025)</t>
  </si>
  <si>
    <t>停业</t>
  </si>
  <si>
    <t>Koinworks</t>
  </si>
  <si>
    <t>未更(as of Oct 2025)</t>
  </si>
  <si>
    <t>Investree</t>
  </si>
  <si>
    <t>Funding Societies (Modalku)</t>
  </si>
  <si>
    <t>？</t>
  </si>
  <si>
    <t>ADA Pundi</t>
  </si>
  <si>
    <t>竞品Outstanding-全量 (US$ B)</t>
  </si>
  <si>
    <t>P2P行业（月末）</t>
  </si>
  <si>
    <t>Kredit Pintar</t>
  </si>
  <si>
    <t>NA</t>
  </si>
  <si>
    <t>0 (未更新,as of Sep2025)</t>
  </si>
  <si>
    <t>竞品Total Borrowers</t>
  </si>
  <si>
    <t>P2P行业</t>
  </si>
  <si>
    <t>3M</t>
  </si>
  <si>
    <t>3.23M</t>
  </si>
  <si>
    <t>3.29M</t>
  </si>
  <si>
    <t>3.38M</t>
  </si>
  <si>
    <t>3.44M</t>
  </si>
  <si>
    <t>3.95M</t>
  </si>
  <si>
    <t>4.00M</t>
  </si>
  <si>
    <t>4.19M</t>
  </si>
  <si>
    <t>4.22 M</t>
  </si>
  <si>
    <t>4.33M</t>
  </si>
  <si>
    <t>4.38M</t>
  </si>
  <si>
    <t>5.71M</t>
  </si>
  <si>
    <t>6.69M</t>
  </si>
  <si>
    <t>6.81M</t>
  </si>
  <si>
    <t>7.44M</t>
  </si>
  <si>
    <t>8.23M</t>
  </si>
  <si>
    <t>8.56M</t>
  </si>
  <si>
    <t>8.62M</t>
  </si>
  <si>
    <t>5.77M</t>
  </si>
  <si>
    <t>5.88M</t>
  </si>
  <si>
    <t>5.98M</t>
  </si>
  <si>
    <t>6.08M</t>
  </si>
  <si>
    <t>6.21M</t>
  </si>
  <si>
    <t>6.38M</t>
  </si>
  <si>
    <t>6.66M</t>
  </si>
  <si>
    <t>6.79M</t>
  </si>
  <si>
    <t>7.96M</t>
  </si>
  <si>
    <t>8M</t>
  </si>
  <si>
    <t>11.03M</t>
  </si>
  <si>
    <t>11.66M</t>
  </si>
  <si>
    <t>11.86M</t>
  </si>
  <si>
    <t>12.3M</t>
  </si>
  <si>
    <t>12.9M</t>
  </si>
  <si>
    <t>13.1M</t>
  </si>
  <si>
    <t>13.3M</t>
  </si>
  <si>
    <t>14.17M</t>
  </si>
  <si>
    <t>14.51M</t>
  </si>
  <si>
    <t>14.70M</t>
  </si>
  <si>
    <t>15.03M</t>
  </si>
  <si>
    <t>15.34M</t>
  </si>
  <si>
    <t>15.67M</t>
  </si>
  <si>
    <t>16.52M</t>
  </si>
  <si>
    <t>16.70M</t>
  </si>
  <si>
    <t>4.6M</t>
  </si>
  <si>
    <t>4.91M</t>
  </si>
  <si>
    <t>4.99M</t>
  </si>
  <si>
    <t>5.09M</t>
  </si>
  <si>
    <t>5.19M</t>
  </si>
  <si>
    <t>5.51M</t>
  </si>
  <si>
    <t>5.72M</t>
  </si>
  <si>
    <t>6.05M</t>
  </si>
  <si>
    <t xml:space="preserve">6.33M </t>
  </si>
  <si>
    <t>6.33M</t>
  </si>
  <si>
    <t>6.53M</t>
  </si>
  <si>
    <t>6.62M</t>
  </si>
  <si>
    <t>6.80M</t>
  </si>
  <si>
    <t>6.88M</t>
  </si>
  <si>
    <t>7.24M</t>
  </si>
  <si>
    <t>7.32M</t>
  </si>
  <si>
    <t>7.41M</t>
  </si>
  <si>
    <t>7.69M</t>
  </si>
  <si>
    <t>7.79M</t>
  </si>
  <si>
    <t>7.89M</t>
  </si>
  <si>
    <t>7.99M</t>
  </si>
  <si>
    <t>8.11M</t>
  </si>
  <si>
    <t>8.42M</t>
  </si>
  <si>
    <t>8.51M</t>
  </si>
  <si>
    <t>9M</t>
  </si>
  <si>
    <t>14.77M</t>
  </si>
  <si>
    <t>15.44M</t>
  </si>
  <si>
    <t>15.79M</t>
  </si>
  <si>
    <t>18.08M</t>
  </si>
  <si>
    <t>19.58M</t>
  </si>
  <si>
    <t>22M存疑</t>
  </si>
  <si>
    <t>22.3M</t>
  </si>
  <si>
    <t>22.4M</t>
  </si>
  <si>
    <t>22.6M</t>
  </si>
  <si>
    <t>22.7M</t>
  </si>
  <si>
    <t>22.9M</t>
  </si>
  <si>
    <t>23M</t>
  </si>
  <si>
    <t>23.3M</t>
  </si>
  <si>
    <t>23.6M</t>
  </si>
  <si>
    <t>23.9M</t>
  </si>
  <si>
    <t>24.0M</t>
  </si>
  <si>
    <t>24.1M</t>
  </si>
  <si>
    <t>24.36M</t>
  </si>
  <si>
    <t>24.68M</t>
  </si>
  <si>
    <t>24.82M</t>
  </si>
  <si>
    <t>12.2M</t>
  </si>
  <si>
    <t>13M</t>
  </si>
  <si>
    <t>13.5M</t>
  </si>
  <si>
    <t>14.9M</t>
  </si>
  <si>
    <t>15.3M</t>
  </si>
  <si>
    <t>7.6M</t>
  </si>
  <si>
    <t>7.7M</t>
  </si>
  <si>
    <t>7.9M</t>
  </si>
  <si>
    <t>8.2M</t>
  </si>
  <si>
    <t>8.3M</t>
  </si>
  <si>
    <t>8.5m</t>
  </si>
  <si>
    <t>8.5M</t>
  </si>
  <si>
    <t>8.6M</t>
  </si>
  <si>
    <t>8.7M</t>
  </si>
  <si>
    <t>8.8M</t>
  </si>
  <si>
    <t>8.9M</t>
  </si>
  <si>
    <t>9.1M</t>
  </si>
  <si>
    <t>9.2M</t>
  </si>
  <si>
    <t>2.9M</t>
  </si>
  <si>
    <t>3.63M</t>
  </si>
  <si>
    <t>3.78M</t>
  </si>
  <si>
    <t>3.96M</t>
  </si>
  <si>
    <t>4.57M</t>
  </si>
  <si>
    <t>5.01M</t>
  </si>
  <si>
    <t>5.22M</t>
  </si>
  <si>
    <t>5.7M</t>
  </si>
  <si>
    <t>6M</t>
  </si>
  <si>
    <t>6.20M</t>
  </si>
  <si>
    <t>6.58M</t>
  </si>
  <si>
    <t>6.78M</t>
  </si>
  <si>
    <t>7.1M</t>
  </si>
  <si>
    <t>7.4M</t>
  </si>
  <si>
    <t>7.8M</t>
  </si>
  <si>
    <t>8.0M</t>
  </si>
  <si>
    <t>8.82M</t>
  </si>
  <si>
    <t>9.01M</t>
  </si>
  <si>
    <t>9.17M</t>
  </si>
  <si>
    <t>9.36M</t>
  </si>
  <si>
    <t>9.57M</t>
  </si>
  <si>
    <t>9.87M</t>
  </si>
  <si>
    <t>10M</t>
  </si>
  <si>
    <t>2M</t>
  </si>
  <si>
    <t>1.54M</t>
  </si>
  <si>
    <t>1.66M</t>
  </si>
  <si>
    <t>1.71M</t>
  </si>
  <si>
    <t>1.74M</t>
  </si>
  <si>
    <t>1.88M</t>
  </si>
  <si>
    <t>1.78M</t>
  </si>
  <si>
    <t>1.20M</t>
  </si>
  <si>
    <t>1.4M</t>
  </si>
  <si>
    <t>1.55M</t>
  </si>
  <si>
    <t>1.9M</t>
  </si>
  <si>
    <t>1.98M</t>
  </si>
  <si>
    <t>2.20M</t>
  </si>
  <si>
    <t>2.22M</t>
  </si>
  <si>
    <t>2.31M</t>
  </si>
  <si>
    <t>2.34M</t>
  </si>
  <si>
    <t>2.44M</t>
  </si>
  <si>
    <t>2.52M</t>
  </si>
  <si>
    <t>2.72M</t>
  </si>
  <si>
    <t>2.8m</t>
  </si>
  <si>
    <t>2.98M</t>
  </si>
  <si>
    <t>3.1M</t>
  </si>
  <si>
    <t>3.2M</t>
  </si>
  <si>
    <t>3.3M</t>
  </si>
  <si>
    <t>3.28M</t>
  </si>
  <si>
    <t>1.73M</t>
  </si>
  <si>
    <t>1.76M</t>
  </si>
  <si>
    <t>1.91M</t>
  </si>
  <si>
    <t>1.93M</t>
  </si>
  <si>
    <t>1.94M</t>
  </si>
  <si>
    <t>1.95M</t>
  </si>
  <si>
    <t>1.3M</t>
  </si>
  <si>
    <t>0.88M</t>
  </si>
  <si>
    <t>0.86M</t>
  </si>
  <si>
    <t>0.89M</t>
  </si>
  <si>
    <t>0.89M（同上月，未更新）</t>
  </si>
  <si>
    <t>0.034M</t>
  </si>
  <si>
    <t>0.11M</t>
  </si>
  <si>
    <t>3.06W</t>
  </si>
  <si>
    <t>3.07W</t>
  </si>
  <si>
    <t>8.86W</t>
  </si>
  <si>
    <t>9.24W</t>
  </si>
  <si>
    <t>9.37W</t>
  </si>
  <si>
    <t>9.38W</t>
  </si>
  <si>
    <t>7.27W</t>
  </si>
  <si>
    <t>7.28W</t>
  </si>
  <si>
    <t>4.9M</t>
  </si>
  <si>
    <t>竞品Active Borrowers</t>
  </si>
  <si>
    <t>1.83M</t>
  </si>
  <si>
    <t>1.89M</t>
  </si>
  <si>
    <t>1.92M</t>
  </si>
  <si>
    <t>2.23M</t>
  </si>
  <si>
    <t>2.24M</t>
  </si>
  <si>
    <t>2.32M</t>
  </si>
  <si>
    <t>2.39M</t>
  </si>
  <si>
    <t>2.43M</t>
  </si>
  <si>
    <t>1.46M</t>
  </si>
  <si>
    <t>1.44M</t>
  </si>
  <si>
    <t>1.43M</t>
  </si>
  <si>
    <t>1.53M</t>
  </si>
  <si>
    <t>1.80M</t>
  </si>
  <si>
    <t>1.85M</t>
  </si>
  <si>
    <t>1.67M</t>
  </si>
  <si>
    <t>0.15M(current year)</t>
  </si>
  <si>
    <t>0.6M(current year)</t>
  </si>
  <si>
    <t>1.05M(current year)</t>
  </si>
  <si>
    <t>1.22M(current year)</t>
  </si>
  <si>
    <t>1.37M</t>
  </si>
  <si>
    <t>5.4M (current year)</t>
  </si>
  <si>
    <t>6.11M (current year)</t>
  </si>
  <si>
    <t>6.34M (current year)</t>
  </si>
  <si>
    <t>4.2M(current year)</t>
  </si>
  <si>
    <t>4.7M(current year)</t>
  </si>
  <si>
    <t>5.0M(current year)</t>
  </si>
  <si>
    <t>6.3M(current year)</t>
  </si>
  <si>
    <t>6.7M(current year)</t>
  </si>
  <si>
    <t>6.9M(current year)</t>
  </si>
  <si>
    <t>7.3M(current year)</t>
  </si>
  <si>
    <t>1.1M(current year)</t>
  </si>
  <si>
    <t>2.8M(current year)</t>
  </si>
  <si>
    <t>5.1M(current year)</t>
  </si>
  <si>
    <t>5.4M(current year)</t>
  </si>
  <si>
    <t>1.16M(current year)</t>
  </si>
  <si>
    <t>1.45M(current year)</t>
  </si>
  <si>
    <t>1.73M(current year)</t>
  </si>
  <si>
    <t>2.33M(current year)</t>
  </si>
  <si>
    <t>2.49M(current year)</t>
  </si>
  <si>
    <t>2.65M(current year)</t>
  </si>
  <si>
    <t>2.80M(current year)</t>
  </si>
  <si>
    <t>2.96M(current year)</t>
  </si>
  <si>
    <t>0.42M(current year)</t>
  </si>
  <si>
    <t>1.10M(current year)</t>
  </si>
  <si>
    <t>1.4M(current year)</t>
  </si>
  <si>
    <t>0.74M</t>
  </si>
  <si>
    <t>0.65M</t>
  </si>
  <si>
    <t>1.02M</t>
  </si>
  <si>
    <t>1.30M</t>
  </si>
  <si>
    <t>1.47M</t>
  </si>
  <si>
    <t>1.6M (current year)</t>
  </si>
  <si>
    <t>1.78M (current year)</t>
  </si>
  <si>
    <t>1.85M (current year)</t>
  </si>
  <si>
    <t>0.19M</t>
  </si>
  <si>
    <t>0.36M(current year)</t>
  </si>
  <si>
    <t>0.47M(current year)</t>
  </si>
  <si>
    <t>0.60M(current year)</t>
  </si>
  <si>
    <t>0.88M(current year)</t>
  </si>
  <si>
    <t>1.12M(current year)</t>
  </si>
  <si>
    <t>1.23M(current year)</t>
  </si>
  <si>
    <t>1.33M(current year)</t>
  </si>
  <si>
    <t>1.43M(current year)</t>
  </si>
  <si>
    <t>0.79M(current year)</t>
  </si>
  <si>
    <t>0.50M(current year)</t>
  </si>
  <si>
    <t>0.64M(current year)</t>
  </si>
  <si>
    <t>0.98M</t>
  </si>
  <si>
    <t>0.93M</t>
  </si>
  <si>
    <t>0.84M</t>
  </si>
  <si>
    <t>0.72M</t>
  </si>
  <si>
    <t>0.67M</t>
  </si>
  <si>
    <t>0.68M</t>
  </si>
  <si>
    <t>0.681M</t>
  </si>
  <si>
    <t>0.69M</t>
  </si>
  <si>
    <t>0.73M</t>
  </si>
  <si>
    <t>0.71M</t>
  </si>
  <si>
    <t>0.66M</t>
  </si>
  <si>
    <t>0.64M</t>
  </si>
  <si>
    <t>0.63M</t>
  </si>
  <si>
    <t>1.12M</t>
  </si>
  <si>
    <t>1.11M</t>
  </si>
  <si>
    <t>1.09M</t>
  </si>
  <si>
    <t>1.23M</t>
  </si>
  <si>
    <t>1.40M</t>
  </si>
  <si>
    <t>1.32M</t>
  </si>
  <si>
    <t>1.31M</t>
  </si>
  <si>
    <t>1.34M</t>
  </si>
  <si>
    <t>1.38M</t>
  </si>
  <si>
    <t>1.39M</t>
  </si>
  <si>
    <t>1.33M</t>
  </si>
  <si>
    <t>1.25M</t>
  </si>
  <si>
    <t>1.56M</t>
  </si>
  <si>
    <t>1.64M</t>
  </si>
  <si>
    <t>1.68M</t>
  </si>
  <si>
    <t>1.59M</t>
  </si>
  <si>
    <t>0.14M</t>
  </si>
  <si>
    <t>0.15M</t>
  </si>
  <si>
    <t>0.16M</t>
  </si>
  <si>
    <t>0.17M</t>
  </si>
  <si>
    <t>0.22M</t>
  </si>
  <si>
    <t>0.94M</t>
  </si>
  <si>
    <t>1.04M</t>
  </si>
  <si>
    <t>1.69M</t>
  </si>
  <si>
    <t>1.75M</t>
  </si>
  <si>
    <t>1.77M</t>
  </si>
  <si>
    <t>1.79M</t>
  </si>
  <si>
    <t>1.99M</t>
  </si>
  <si>
    <t>2.17M</t>
  </si>
  <si>
    <t>2.29M</t>
  </si>
  <si>
    <t>1.87M</t>
  </si>
  <si>
    <t>0.93M(current year)</t>
  </si>
  <si>
    <t>0.1M(current year)</t>
  </si>
  <si>
    <t>0.04M</t>
  </si>
  <si>
    <t>0.01M</t>
  </si>
  <si>
    <t>0.003M</t>
  </si>
  <si>
    <t>0.0006M</t>
  </si>
  <si>
    <t>0.0005M</t>
  </si>
  <si>
    <t>0.000463M</t>
  </si>
  <si>
    <t>0.000453M</t>
  </si>
  <si>
    <t>0.00017M</t>
  </si>
  <si>
    <t>0.013M</t>
  </si>
  <si>
    <t>0.012M</t>
  </si>
  <si>
    <t>0.012M(7月)</t>
  </si>
  <si>
    <t>0.012M(未更as of Oct 2025)</t>
  </si>
  <si>
    <t>1.94W</t>
  </si>
  <si>
    <t>1.85W</t>
  </si>
  <si>
    <t>1.78W</t>
  </si>
  <si>
    <t>4.05W</t>
  </si>
  <si>
    <t>4.39W</t>
  </si>
  <si>
    <t>4.47W</t>
  </si>
  <si>
    <t>1.35K</t>
  </si>
  <si>
    <t>1.41K</t>
  </si>
  <si>
    <t>竞品Borrowers this year</t>
  </si>
  <si>
    <t>2026.5.8</t>
  </si>
  <si>
    <t>Indosaku</t>
  </si>
  <si>
    <t>lumbung dana</t>
  </si>
  <si>
    <t>pinjam yuk</t>
  </si>
  <si>
    <t>bantu saku</t>
  </si>
  <si>
    <t>uatas</t>
  </si>
  <si>
    <t>KrediOne</t>
  </si>
  <si>
    <t>Samir（嘉银）</t>
  </si>
  <si>
    <t>use "year" total payment</t>
  </si>
  <si>
    <t>na</t>
  </si>
  <si>
    <t>use "begin" current transactions</t>
  </si>
  <si>
    <t>1.24M</t>
  </si>
  <si>
    <t>0.32M</t>
  </si>
  <si>
    <t>0.33M</t>
  </si>
  <si>
    <t>0.39M</t>
  </si>
  <si>
    <t>0.40M</t>
  </si>
  <si>
    <t>2.04M</t>
  </si>
  <si>
    <t>2.07M</t>
  </si>
  <si>
    <t>2.67M</t>
  </si>
  <si>
    <t>2.87M</t>
  </si>
  <si>
    <t>2.89M</t>
  </si>
  <si>
    <t>1.97M</t>
  </si>
  <si>
    <t>2.06M</t>
  </si>
  <si>
    <t>2.26M</t>
  </si>
  <si>
    <t>2.28M</t>
  </si>
  <si>
    <t>1.2M</t>
  </si>
  <si>
    <t>0.13M (current year)</t>
  </si>
  <si>
    <t>37,630 (current year)</t>
  </si>
  <si>
    <t>89,670 (current year)</t>
  </si>
  <si>
    <t>7,743 (current year)</t>
  </si>
  <si>
    <t>29,801 (current year)</t>
  </si>
  <si>
    <t>89,323 (current year)</t>
  </si>
  <si>
    <t>96,346 (current year)</t>
  </si>
  <si>
    <t>0.36M</t>
  </si>
  <si>
    <t>0.23M</t>
  </si>
  <si>
    <t>0.21M</t>
  </si>
  <si>
    <t>3,777 (current year)</t>
  </si>
  <si>
    <t>0.22M (current year)</t>
  </si>
  <si>
    <t>0.45M (current year)</t>
  </si>
  <si>
    <t>0.48M (current year)</t>
  </si>
  <si>
    <t>0.99M (current year)</t>
  </si>
  <si>
    <t>1.03M (current year)</t>
  </si>
  <si>
    <t>1.15M (current year)</t>
  </si>
  <si>
    <t>0.13M</t>
  </si>
  <si>
    <t>0.56M</t>
  </si>
  <si>
    <t>0.18M</t>
  </si>
  <si>
    <t>0.37M</t>
  </si>
  <si>
    <t>0.45M</t>
  </si>
  <si>
    <t>0.48M</t>
  </si>
  <si>
    <t>0.99M</t>
  </si>
  <si>
    <t>1.03M</t>
  </si>
  <si>
    <t>1.15M</t>
  </si>
  <si>
    <t>竞品Disbursement (US$ B)</t>
  </si>
  <si>
    <t>2023 Q3</t>
  </si>
  <si>
    <t>BRI Finance</t>
  </si>
  <si>
    <t>Adira</t>
  </si>
  <si>
    <t>BCA Finance</t>
  </si>
  <si>
    <t>Clipan Finance</t>
  </si>
  <si>
    <t>Buana Finance</t>
  </si>
  <si>
    <t>BFI Finance</t>
  </si>
  <si>
    <t>Cash disbursement for:New financing transactions</t>
  </si>
  <si>
    <t>Woori Finance</t>
  </si>
  <si>
    <t>Cash disbursements for:Financing transactions</t>
  </si>
  <si>
    <t>Fuji Finance</t>
  </si>
  <si>
    <t>Radana Bhaskara Finance</t>
  </si>
  <si>
    <t>21\22年取Cash disbursement for:New financing transactions，其余取financing products performance(total)</t>
  </si>
  <si>
    <t>Mandala Multifinance</t>
  </si>
  <si>
    <t>Pool Advista Finance</t>
  </si>
  <si>
    <t>KDB Tifa Finance</t>
  </si>
  <si>
    <t>Trust Finance</t>
  </si>
  <si>
    <t>Mizuho Leasing</t>
  </si>
  <si>
    <t xml:space="preserve">Wahana Ottomitra Multiartha </t>
  </si>
  <si>
    <t>取Multipurpose Financing Goods（New Motorcycle Financing+Used Motorcycle Financing）</t>
  </si>
  <si>
    <t>Mandiri utama finance</t>
  </si>
  <si>
    <t>Home Credit</t>
  </si>
  <si>
    <t>Akulaku</t>
  </si>
  <si>
    <t>Kredivo</t>
  </si>
  <si>
    <t>Indodana</t>
  </si>
  <si>
    <t>AEON</t>
  </si>
  <si>
    <t>Atome</t>
  </si>
  <si>
    <t>产品形态（利率、期限、限额）</t>
  </si>
  <si>
    <t>竞品Outstanding (US$ B)</t>
  </si>
  <si>
    <t>由日本MUFG与印尼BRI银行（印尼最大的国有银行之一）合资设立</t>
  </si>
  <si>
    <t>两轮车MF巨头，2004年上市，PT Bank Danamon Indonesia Tbk（印尼最大的银行之一）持股90%以上</t>
  </si>
  <si>
    <t>FINANCING RECEIVABLES总数</t>
  </si>
  <si>
    <t>BCA（印尼工行）下属的MF子公司，consumer finance占业务90%以上</t>
  </si>
  <si>
    <t>Paylater BCA: 0 percent to 2 percent flat per month；1, 3, 6, 12 months；IDR20million</t>
  </si>
  <si>
    <t>1990年上市，是印尼第一个上市的金融公司</t>
  </si>
  <si>
    <t>1990年上市，专注于租赁融资和二手车融资</t>
  </si>
  <si>
    <t>取的NET FINANCING RECEIVABLES总数</t>
  </si>
  <si>
    <t>由韩国金融集团WFG（韩国四大金融集团之一）子公司WC收购并改名，于2009年上市</t>
  </si>
  <si>
    <t>1982年成立，2019年上市</t>
  </si>
  <si>
    <t>2022\2021取的NET FINANCING RECEIVABLES总数，其余为consumer financing receivable</t>
  </si>
  <si>
    <t>XX年上市，22年总营收，主要为伊斯兰金融（占应收80%），所以finance receiveables比较低</t>
  </si>
  <si>
    <t>取的科目为Multi-purpose Financing Receivable Net</t>
  </si>
  <si>
    <t xml:space="preserve"> </t>
  </si>
  <si>
    <t>是Maybank（马来西亚第二大银行和金融集团）集团的一员</t>
  </si>
  <si>
    <t>Livin' Paylater</t>
  </si>
  <si>
    <t>Indodana：0 percent to 3 percent per month； 1, 3, 12 months； Unknown</t>
  </si>
  <si>
    <t>日本AEON Group下金融公司 AEON Financial Service Co., Ltd.的分支</t>
  </si>
  <si>
    <t>竞品Outstanding- 两轮&amp;电两轮 (US$ B)</t>
  </si>
  <si>
    <t>-</t>
  </si>
  <si>
    <t>取自other assets net-Motorcycle ownership program to related parties receivable</t>
  </si>
  <si>
    <t>managed receivables*motor vehicle propotion</t>
  </si>
  <si>
    <t>取得是Consumer financing receivables-gross-motor vehicle</t>
  </si>
  <si>
    <t>竞品Outstanding-电子产品(US$ B)</t>
  </si>
  <si>
    <t>中国人均可支配收入-按年, cny</t>
  </si>
  <si>
    <t>口径：平均数，来源：国家统计局</t>
  </si>
  <si>
    <t>中国人均可支配收入-按年, usd</t>
  </si>
  <si>
    <t>中国人均可支配收入-按月, cny</t>
  </si>
  <si>
    <t>中国人均可支配收入-按月, usd</t>
  </si>
  <si>
    <t>2022 Q3</t>
  </si>
  <si>
    <t>信也国内笔均, cny</t>
  </si>
  <si>
    <t>信也国内平均期限, month</t>
  </si>
  <si>
    <t>笔均/期限, cny/month</t>
  </si>
  <si>
    <t>月笔均/月可支配收入 系数</t>
  </si>
  <si>
    <t>信也国内月均还款额, cny</t>
  </si>
  <si>
    <t>月还款额/可支配收入 系数</t>
  </si>
  <si>
    <t>2022E</t>
  </si>
  <si>
    <t>2023E</t>
  </si>
  <si>
    <t>2024E</t>
  </si>
  <si>
    <t>2025E</t>
  </si>
  <si>
    <t>印尼整体可支配收入-按年, mn idr</t>
  </si>
  <si>
    <t>印尼人口, mn</t>
  </si>
  <si>
    <t>印尼人均可支配收入-按年, idr</t>
  </si>
  <si>
    <t>来源：euromonitor, world bank</t>
  </si>
  <si>
    <t>印尼人均可支配收入-按年, usd</t>
  </si>
  <si>
    <t>印尼人均可支配收入-按月, idr</t>
  </si>
  <si>
    <t>印尼人均可支配收入-按月, usd</t>
  </si>
  <si>
    <t>印尼平均期限</t>
  </si>
  <si>
    <t>印尼Total Fee Rate</t>
  </si>
  <si>
    <t>印尼参考笔均-以笔均系数, usd</t>
  </si>
  <si>
    <t>印尼参考笔均, usd</t>
  </si>
  <si>
    <t>US - bea data</t>
  </si>
  <si>
    <t>2021 Q1</t>
  </si>
  <si>
    <t>2021 Q2</t>
  </si>
  <si>
    <t>2021 Q3</t>
  </si>
  <si>
    <t>2021 Q4</t>
  </si>
  <si>
    <t>disposable income</t>
  </si>
  <si>
    <t>bn usd</t>
  </si>
  <si>
    <t>population</t>
  </si>
  <si>
    <t>k</t>
  </si>
  <si>
    <t>disposable income per capita</t>
  </si>
  <si>
    <t>usd</t>
  </si>
  <si>
    <r>
      <rPr>
        <u/>
        <sz val="10"/>
        <color rgb="FF267EF0"/>
        <rFont val="微软雅黑"/>
        <family val="2"/>
        <charset val="134"/>
      </rPr>
      <t>https://kredifazz.id/disclosure.html</t>
    </r>
  </si>
  <si>
    <r>
      <rPr>
        <u/>
        <sz val="10"/>
        <color rgb="FF175CEB"/>
        <rFont val="微软雅黑"/>
        <family val="2"/>
        <charset val="134"/>
      </rPr>
      <t>https://www.asetku.co.id/#/</t>
    </r>
  </si>
  <si>
    <r>
      <rPr>
        <u/>
        <sz val="10"/>
        <color rgb="FF175CEB"/>
        <rFont val="微软雅黑"/>
        <family val="2"/>
        <charset val="134"/>
      </rPr>
      <t>https://www.kreditpintar.com/en-us/about-us</t>
    </r>
  </si>
  <si>
    <r>
      <rPr>
        <sz val="10"/>
        <color rgb="FF000000"/>
        <rFont val="等线"/>
        <family val="3"/>
        <charset val="134"/>
        <scheme val="minor"/>
      </rPr>
      <t>Kredit Pintar (Atome cash Loan)</t>
    </r>
  </si>
  <si>
    <r>
      <rPr>
        <u/>
        <sz val="10"/>
        <color rgb="FF267EF0"/>
        <rFont val="微软雅黑"/>
        <family val="2"/>
        <charset val="134"/>
      </rPr>
      <t>https://easycash.id/about/us/company-team</t>
    </r>
  </si>
  <si>
    <r>
      <rPr>
        <u/>
        <sz val="10"/>
        <color rgb="FF175CEB"/>
        <rFont val="微软雅黑"/>
        <family val="2"/>
        <charset val="134"/>
      </rPr>
      <t>https://www.uangme.id/aboutus</t>
    </r>
  </si>
  <si>
    <r>
      <rPr>
        <u/>
        <sz val="10"/>
        <color rgb="FF175CEB"/>
        <rFont val="微软雅黑"/>
        <family val="2"/>
        <charset val="134"/>
      </rPr>
      <t>https://www.julo.co.id/about</t>
    </r>
  </si>
  <si>
    <r>
      <rPr>
        <u/>
        <sz val="10"/>
        <color rgb="FF175CEB"/>
        <rFont val="微软雅黑"/>
        <family val="2"/>
        <charset val="134"/>
      </rPr>
      <t>https://maucash.id/datadisclosure</t>
    </r>
  </si>
  <si>
    <r>
      <rPr>
        <u/>
        <sz val="10"/>
        <color rgb="FF267EF0"/>
        <rFont val="微软雅黑"/>
        <family val="2"/>
        <charset val="134"/>
      </rPr>
      <t>https://koinp2p.com/</t>
    </r>
  </si>
  <si>
    <r>
      <rPr>
        <u/>
        <sz val="10"/>
        <color rgb="FF175CEB"/>
        <rFont val="微软雅黑"/>
        <family val="2"/>
        <charset val="134"/>
      </rPr>
      <t>https://investree.id/en/</t>
    </r>
  </si>
  <si>
    <r>
      <rPr>
        <u/>
        <sz val="10"/>
        <color rgb="FF175CEB"/>
        <rFont val="微软雅黑"/>
        <family val="2"/>
        <charset val="134"/>
      </rPr>
      <t>https://app.modalku.co.id/progress</t>
    </r>
  </si>
  <si>
    <r>
      <rPr>
        <u/>
        <sz val="10"/>
        <color rgb="FF267EF0"/>
        <rFont val="等线"/>
        <family val="3"/>
        <charset val="134"/>
      </rPr>
      <t>https://www.adapundi.com/about/achievements</t>
    </r>
  </si>
  <si>
    <r>
      <rPr>
        <sz val="10"/>
        <color rgb="FF000000"/>
        <rFont val="等线"/>
        <family val="3"/>
        <charset val="134"/>
        <scheme val="minor"/>
      </rPr>
      <t>3.49M</t>
    </r>
  </si>
  <si>
    <r>
      <rPr>
        <u/>
        <sz val="10"/>
        <color rgb="FF267EF0"/>
        <rFont val="微软雅黑"/>
        <family val="2"/>
        <charset val="134"/>
      </rPr>
      <t>https://indosaku.com/Tentang%20Kami.html</t>
    </r>
  </si>
  <si>
    <r>
      <rPr>
        <u/>
        <sz val="10"/>
        <color rgb="FF267EF0"/>
        <rFont val="微软雅黑"/>
        <family val="2"/>
        <charset val="134"/>
      </rPr>
      <t>https://lumbungdana.co.id/</t>
    </r>
  </si>
  <si>
    <r>
      <rPr>
        <u/>
        <sz val="10"/>
        <color rgb="FF175CEB"/>
        <rFont val="等线"/>
        <family val="3"/>
        <charset val="134"/>
      </rPr>
      <t>https://www.pinjamyuk.co.id/</t>
    </r>
  </si>
  <si>
    <r>
      <rPr>
        <u/>
        <sz val="10"/>
        <color rgb="FF267EF0"/>
        <rFont val="微软雅黑"/>
        <family val="2"/>
        <charset val="134"/>
      </rPr>
      <t>https://www.bantusaku.id/</t>
    </r>
  </si>
  <si>
    <r>
      <rPr>
        <u/>
        <sz val="10"/>
        <color rgb="FF267EF0"/>
        <rFont val="微软雅黑"/>
        <family val="2"/>
        <charset val="134"/>
      </rPr>
      <t>https://www.uatas.id/webOfficial/about-us/</t>
    </r>
  </si>
  <si>
    <r>
      <rPr>
        <u/>
        <sz val="10"/>
        <color rgb="FF175CEB"/>
        <rFont val="等线"/>
        <family val="3"/>
        <charset val="134"/>
      </rPr>
      <t>https://www.kredione.id/</t>
    </r>
  </si>
  <si>
    <r>
      <rPr>
        <u/>
        <sz val="10"/>
        <color rgb="FF267EF0"/>
        <rFont val="微软雅黑"/>
        <family val="2"/>
        <charset val="134"/>
      </rPr>
      <t>https://www.samir.co.id/beranda?type=1</t>
    </r>
  </si>
  <si>
    <r>
      <rPr>
        <u/>
        <sz val="10"/>
        <color rgb="FF267EF0"/>
        <rFont val="微软雅黑"/>
        <family val="2"/>
        <charset val="134"/>
      </rPr>
      <t>https://www.brifinance.co.id/site/laporan_tahunan</t>
    </r>
  </si>
  <si>
    <r>
      <rPr>
        <u/>
        <sz val="10"/>
        <color rgb="FF267EF0"/>
        <rFont val="微软雅黑"/>
        <family val="2"/>
        <charset val="134"/>
      </rPr>
      <t>https://finansial.bisnis.com/read/20231025/89/1707768/bri-finance-salurkan-piutang-pembiayaan-rp419-triliun-pada-kuartal-iii2023</t>
    </r>
  </si>
  <si>
    <r>
      <rPr>
        <u/>
        <sz val="10"/>
        <color rgb="FF267EF0"/>
        <rFont val="微软雅黑"/>
        <family val="2"/>
        <charset val="134"/>
      </rPr>
      <t>https://finansial.bisnis.com/read/20231101/89/1710215/laba-adira-finance-admf-tembus-rp13-triliun-naik-17-yoy</t>
    </r>
  </si>
  <si>
    <r>
      <rPr>
        <u/>
        <sz val="10"/>
        <color rgb="FF267EF0"/>
        <rFont val="微软雅黑"/>
        <family val="2"/>
        <charset val="134"/>
      </rPr>
      <t>2023全年： https://finansial.bisnis.com/read/20240122/89/1734374/adira-finance-salurkan-rp189-miliar-untuk-kredit-motor-dan-mobil-listrik-pada-2023</t>
    </r>
  </si>
  <si>
    <r>
      <rPr>
        <u/>
        <sz val="10"/>
        <color rgb="FF267EF0"/>
        <rFont val="微软雅黑"/>
        <family val="2"/>
        <charset val="134"/>
      </rPr>
      <t>https://bcafinance.co.id/tentang-kami</t>
    </r>
  </si>
  <si>
    <r>
      <rPr>
        <u/>
        <sz val="10"/>
        <color rgb="FF267EF0"/>
        <rFont val="微软雅黑"/>
        <family val="2"/>
        <charset val="134"/>
      </rPr>
      <t>https://clipan.co.id/perusahaan/hubungan-investor/</t>
    </r>
  </si>
  <si>
    <r>
      <rPr>
        <u/>
        <sz val="10"/>
        <color rgb="FF267EF0"/>
        <rFont val="微软雅黑"/>
        <family val="2"/>
        <charset val="134"/>
      </rPr>
      <t>https://www.buanafinance.co.id/investorrelation/annualreports; 季报：https://www.buanafinance.co.id/investorrelation/quarterlyreports</t>
    </r>
  </si>
  <si>
    <r>
      <rPr>
        <u/>
        <sz val="10"/>
        <color rgb="FF267EF0"/>
        <rFont val="微软雅黑"/>
        <family val="2"/>
        <charset val="134"/>
      </rPr>
      <t>https://www.bfi.co.id/en/corporate/Investor-Relations/Financial-Performance?t=1</t>
    </r>
  </si>
  <si>
    <r>
      <rPr>
        <u/>
        <sz val="10"/>
        <color rgb="FF267EF0"/>
        <rFont val="微软雅黑"/>
        <family val="2"/>
        <charset val="134"/>
      </rPr>
      <t>https://woorifinance.co.id/en/category/laporan-tahunan/</t>
    </r>
  </si>
  <si>
    <r>
      <rPr>
        <u/>
        <sz val="10"/>
        <color rgb="FF267EF0"/>
        <rFont val="微软雅黑"/>
        <family val="2"/>
        <charset val="134"/>
      </rPr>
      <t>https://fujifinance.com/annual-reports/</t>
    </r>
  </si>
  <si>
    <r>
      <rPr>
        <u/>
        <sz val="10"/>
        <color rgb="FF267EF0"/>
        <rFont val="微软雅黑"/>
        <family val="2"/>
        <charset val="134"/>
      </rPr>
      <t>https://www.radanafinance.co.id/financial-reports?year=2023</t>
    </r>
  </si>
  <si>
    <r>
      <rPr>
        <u/>
        <sz val="10"/>
        <color rgb="FF267EF0"/>
        <rFont val="微软雅黑"/>
        <family val="2"/>
        <charset val="134"/>
      </rPr>
      <t>https://mandalafinance.com/en/investor-information/</t>
    </r>
  </si>
  <si>
    <r>
      <rPr>
        <u/>
        <sz val="10"/>
        <color rgb="FF267EF0"/>
        <rFont val="微软雅黑"/>
        <family val="2"/>
        <charset val="134"/>
      </rPr>
      <t>https://paf.co.id/laporan</t>
    </r>
  </si>
  <si>
    <r>
      <rPr>
        <u/>
        <sz val="10"/>
        <color rgb="FF267EF0"/>
        <rFont val="微软雅黑"/>
        <family val="2"/>
        <charset val="134"/>
      </rPr>
      <t>https://www.kdbtifa.co.id/id/investor/laporan-dan-pernyataan/laporan-tahunan</t>
    </r>
  </si>
  <si>
    <r>
      <rPr>
        <u/>
        <sz val="10"/>
        <color rgb="FF267EF0"/>
        <rFont val="微软雅黑"/>
        <family val="2"/>
        <charset val="134"/>
      </rPr>
      <t>https://www.trustfinanceindonesia.com/laporantahunan</t>
    </r>
  </si>
  <si>
    <r>
      <rPr>
        <u/>
        <sz val="10"/>
        <color rgb="FF267EF0"/>
        <rFont val="微软雅黑"/>
        <family val="2"/>
        <charset val="134"/>
      </rPr>
      <t>https://www.mizuho-ls.co.id/investor/annual-report</t>
    </r>
  </si>
  <si>
    <r>
      <rPr>
        <u/>
        <sz val="10"/>
        <color rgb="FF267EF0"/>
        <rFont val="微软雅黑"/>
        <family val="2"/>
        <charset val="134"/>
      </rPr>
      <t>https://www.akulaku.com/relations-investor</t>
    </r>
  </si>
  <si>
    <r>
      <rPr>
        <sz val="10"/>
        <color rgb="FF000000"/>
        <rFont val="等线"/>
        <family val="3"/>
        <charset val="134"/>
        <scheme val="minor"/>
      </rPr>
      <t>Total Loan
Disbursement</t>
    </r>
  </si>
  <si>
    <r>
      <rPr>
        <u/>
        <sz val="10"/>
        <color rgb="FF267EF0"/>
        <rFont val="微软雅黑"/>
        <family val="2"/>
        <charset val="134"/>
      </rPr>
      <t>https://finansial.bisnis.com/read/20231008/90/1702029/rate-industri-25-persen-per-bulan-segini-bunga-paylater-bca-dan-mandiri</t>
    </r>
  </si>
  <si>
    <r>
      <rPr>
        <u/>
        <sz val="10"/>
        <color rgb="FF267EF0"/>
        <rFont val="微软雅黑"/>
        <family val="2"/>
        <charset val="134"/>
      </rPr>
      <t>https://www.brifinance.co.id/site/laporan_tahunan</t>
    </r>
  </si>
  <si>
    <r>
      <rPr>
        <u/>
        <sz val="10"/>
        <color rgb="FF267EF0"/>
        <rFont val="微软雅黑"/>
        <family val="2"/>
        <charset val="134"/>
      </rPr>
      <t>https://finansial.bisnis.com/read/20231025/89/1707768/bri-finance-salurkan-piutang-pembiayaan-rp419-triliun-pada-kuartal-iii2023</t>
    </r>
  </si>
  <si>
    <r>
      <rPr>
        <u/>
        <sz val="10"/>
        <color rgb="FF267EF0"/>
        <rFont val="微软雅黑"/>
        <family val="2"/>
        <charset val="134"/>
      </rPr>
      <t>https://finansial.bisnis.com/read/20231101/89/1710215/laba-adira-finance-admf-tembus-rp13-triliun-naik-17-yoy</t>
    </r>
  </si>
  <si>
    <r>
      <rPr>
        <u/>
        <sz val="10"/>
        <color rgb="FF267EF0"/>
        <rFont val="微软雅黑"/>
        <family val="2"/>
        <charset val="134"/>
      </rPr>
      <t>https://bcafinance.co.id/tentang-kami</t>
    </r>
  </si>
  <si>
    <r>
      <rPr>
        <u/>
        <sz val="10"/>
        <color rgb="FF267EF0"/>
        <rFont val="微软雅黑"/>
        <family val="2"/>
        <charset val="134"/>
      </rPr>
      <t>https://clipan.co.id/perusahaan/hubungan-investor/</t>
    </r>
  </si>
  <si>
    <r>
      <rPr>
        <u/>
        <sz val="10"/>
        <color rgb="FF267EF0"/>
        <rFont val="微软雅黑"/>
        <family val="2"/>
        <charset val="134"/>
      </rPr>
      <t>https://www.buanafinance.co.id/investorrelation/annualreports; 季报：https://www.buanafinance.co.id/investorrelation/quarterlyreports</t>
    </r>
  </si>
  <si>
    <r>
      <rPr>
        <u/>
        <sz val="10"/>
        <color rgb="FF267EF0"/>
        <rFont val="微软雅黑"/>
        <family val="2"/>
        <charset val="134"/>
      </rPr>
      <t>https://www.bfi.co.id/en/corporate/Investor-Relations/Annual-Sustainability-Report; 季节性数据披露：https://www.bfi.co.id/en/corporate/Investor-Relations/Press-Release</t>
    </r>
  </si>
  <si>
    <r>
      <rPr>
        <i/>
        <sz val="10"/>
        <color rgb="FF000000"/>
        <rFont val="微软雅黑"/>
        <family val="2"/>
        <charset val="134"/>
      </rPr>
      <t>Northstar的Potfolio公司，数字化创新强，XX年上市</t>
    </r>
  </si>
  <si>
    <r>
      <rPr>
        <u/>
        <sz val="10"/>
        <color rgb="FF267EF0"/>
        <rFont val="微软雅黑"/>
        <family val="2"/>
        <charset val="134"/>
      </rPr>
      <t>https://woorifinance.co.id/en/category/laporan-tahunan/</t>
    </r>
  </si>
  <si>
    <r>
      <rPr>
        <u/>
        <sz val="10"/>
        <color rgb="FF267EF0"/>
        <rFont val="微软雅黑"/>
        <family val="2"/>
        <charset val="134"/>
      </rPr>
      <t>https://fujifinance.com/annual-reports/</t>
    </r>
  </si>
  <si>
    <r>
      <rPr>
        <u/>
        <sz val="10"/>
        <color rgb="FF267EF0"/>
        <rFont val="微软雅黑"/>
        <family val="2"/>
        <charset val="134"/>
      </rPr>
      <t>https://www.radanafinance.co.id/financial-reports?year=2023</t>
    </r>
  </si>
  <si>
    <r>
      <rPr>
        <u/>
        <sz val="10"/>
        <color rgb="FF267EF0"/>
        <rFont val="微软雅黑"/>
        <family val="2"/>
        <charset val="134"/>
      </rPr>
      <t>https://mandalafinance.com/en/investor-information/</t>
    </r>
  </si>
  <si>
    <r>
      <rPr>
        <i/>
        <sz val="10"/>
        <color rgb="FF267EF0"/>
        <rFont val="微软雅黑"/>
        <family val="2"/>
        <charset val="134"/>
      </rPr>
      <t>正在被Adira收购中；https://finansial.bisnis.com/read/20231118/89/1715686/status-akuisisi-mandala-finance-oleh-adira-tunggu-persetujuan-ojk</t>
    </r>
  </si>
  <si>
    <r>
      <rPr>
        <u/>
        <sz val="10"/>
        <color rgb="FF267EF0"/>
        <rFont val="微软雅黑"/>
        <family val="2"/>
        <charset val="134"/>
      </rPr>
      <t>https://paf.co.id/laporan</t>
    </r>
  </si>
  <si>
    <r>
      <rPr>
        <u/>
        <sz val="10"/>
        <color rgb="FF267EF0"/>
        <rFont val="微软雅黑"/>
        <family val="2"/>
        <charset val="134"/>
      </rPr>
      <t>https://www.kdbtifa.co.id/id/investor/laporan-dan-pernyataan/laporan-tahunan</t>
    </r>
  </si>
  <si>
    <r>
      <rPr>
        <u/>
        <sz val="10"/>
        <color rgb="FF267EF0"/>
        <rFont val="微软雅黑"/>
        <family val="2"/>
        <charset val="134"/>
      </rPr>
      <t>https://www.trustfinanceindonesia.com/laporantahunan</t>
    </r>
  </si>
  <si>
    <r>
      <rPr>
        <u/>
        <sz val="10"/>
        <color rgb="FF267EF0"/>
        <rFont val="微软雅黑"/>
        <family val="2"/>
        <charset val="134"/>
      </rPr>
      <t>https://www.mizuho-ls.co.id/investor/annual-report</t>
    </r>
  </si>
  <si>
    <r>
      <rPr>
        <u/>
        <sz val="10"/>
        <color rgb="FF267EF0"/>
        <rFont val="微软雅黑"/>
        <family val="2"/>
        <charset val="134"/>
      </rPr>
      <t>https://www.wom.co.id/annual-report</t>
    </r>
  </si>
  <si>
    <r>
      <rPr>
        <u/>
        <sz val="10"/>
        <color rgb="FF267EF0"/>
        <rFont val="微软雅黑"/>
        <family val="2"/>
        <charset val="134"/>
      </rPr>
      <t>https://finansial.bisnis.com/read/20231116/89/1714978/wom-finance-womf-bidik-laba-tumbuh-7-pembiayaan-5-pada-2024</t>
    </r>
  </si>
  <si>
    <r>
      <rPr>
        <u/>
        <sz val="10"/>
        <color rgb="FF267EF0"/>
        <rFont val="微软雅黑"/>
        <family val="2"/>
        <charset val="134"/>
      </rPr>
      <t>https://www.akulaku.com/relations-investor</t>
    </r>
  </si>
  <si>
    <r>
      <rPr>
        <u/>
        <sz val="10"/>
        <color rgb="FF267EF0"/>
        <rFont val="微软雅黑"/>
        <family val="2"/>
        <charset val="134"/>
      </rPr>
      <t>https://finansial.bisnis.com/read/20231119/89/1715706/subsidi-konversi-motor-listrik-rp10-juta-ini-strategi-adira-finance-admf</t>
    </r>
  </si>
  <si>
    <r>
      <rPr>
        <u/>
        <sz val="10"/>
        <color rgb="FF267EF0"/>
        <rFont val="微软雅黑"/>
        <family val="2"/>
        <charset val="134"/>
      </rPr>
      <t>https://finansial.bisnis.com/read/20240118/89/1733474/kredit-motor-listrik-wom-finance-milik-maybank-dan-boy-thohir-mulai-terima-aplikasi</t>
    </r>
  </si>
  <si>
    <r>
      <rPr>
        <u/>
        <sz val="10"/>
        <color rgb="FF267EF0"/>
        <rFont val="微软雅黑"/>
        <family val="2"/>
        <charset val="134"/>
      </rPr>
      <t>https://finansial.bisnis.com/read/20231025/89/1707768/bri-finance-salurkan-piutang-pembiayaan-rp419-triliun-pada-kuartal-iii2023</t>
    </r>
  </si>
  <si>
    <r>
      <rPr>
        <b/>
        <sz val="10"/>
        <color rgb="FFFFFFFF"/>
        <rFont val="Arial"/>
        <family val="2"/>
      </rPr>
      <t>2022 Q2</t>
    </r>
  </si>
  <si>
    <r>
      <rPr>
        <b/>
        <sz val="10"/>
        <color rgb="FFFFFFFF"/>
        <rFont val="Arial"/>
        <family val="2"/>
      </rPr>
      <t>2023E</t>
    </r>
  </si>
  <si>
    <r>
      <rPr>
        <b/>
        <sz val="10"/>
        <color rgb="FFFFFFFF"/>
        <rFont val="Arial"/>
        <family val="2"/>
      </rPr>
      <t>2024E</t>
    </r>
  </si>
  <si>
    <r>
      <rPr>
        <b/>
        <sz val="10"/>
        <color rgb="FFFFFFFF"/>
        <rFont val="Arial"/>
        <family val="2"/>
      </rPr>
      <t>2025E</t>
    </r>
  </si>
  <si>
    <r>
      <rPr>
        <sz val="10"/>
        <color rgb="FF000000"/>
        <rFont val="等线"/>
        <family val="3"/>
        <charset val="134"/>
        <scheme val="minor"/>
      </rPr>
      <t>gdp per capita</t>
    </r>
  </si>
  <si>
    <r>
      <rPr>
        <sz val="10"/>
        <color rgb="FF000000"/>
        <rFont val="等线"/>
        <family val="3"/>
        <charset val="134"/>
        <scheme val="minor"/>
      </rPr>
      <t>usd</t>
    </r>
  </si>
  <si>
    <r>
      <rPr>
        <sz val="10"/>
        <color rgb="FF000000"/>
        <rFont val="等线"/>
        <family val="3"/>
        <charset val="134"/>
        <scheme val="minor"/>
      </rPr>
      <t>中国</t>
    </r>
  </si>
  <si>
    <r>
      <rPr>
        <sz val="10"/>
        <color rgb="FF000000"/>
        <rFont val="等线"/>
        <family val="3"/>
        <charset val="134"/>
        <scheme val="minor"/>
      </rPr>
      <t>印尼</t>
    </r>
  </si>
  <si>
    <r>
      <rPr>
        <sz val="10"/>
        <color rgb="FF000000"/>
        <rFont val="等线"/>
        <family val="3"/>
        <charset val="134"/>
        <scheme val="minor"/>
      </rPr>
      <t>美国</t>
    </r>
  </si>
  <si>
    <r>
      <rPr>
        <sz val="10"/>
        <color rgb="FF000000"/>
        <rFont val="等线"/>
        <family val="3"/>
        <charset val="134"/>
        <scheme val="minor"/>
      </rPr>
      <t>人均可支配收入</t>
    </r>
  </si>
  <si>
    <t xml:space="preserve">Adakami </t>
  </si>
  <si>
    <t>P2P数据追踪</t>
    <phoneticPr fontId="5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</si>
</sst>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0.00_);[Red]\(0.00\)"/>
    <numFmt numFmtId="177" formatCode="0.00_ "/>
    <numFmt numFmtId="178" formatCode="0.0"/>
    <numFmt numFmtId="179" formatCode="_ * #,##0.0_ ;_ * \-#,##0.0_ "/>
    <numFmt numFmtId="180" formatCode="#,##0.0_ "/>
    <numFmt numFmtId="181" formatCode="#,##0.00_ "/>
    <numFmt numFmtId="183" formatCode="yyyy&quot;.&quot;m&quot;.&quot;d"/>
    <numFmt numFmtId="184" formatCode="0.000_ "/>
    <numFmt numFmtId="185" formatCode="0.000_);[Red]\(0.000\)"/>
    <numFmt numFmtId="186" formatCode="#,##0.000"/>
    <numFmt numFmtId="187" formatCode="#,##0.000_ "/>
    <numFmt numFmtId="188" formatCode="0.0000_ "/>
    <numFmt numFmtId="189" formatCode="0.0000"/>
    <numFmt numFmtId="190" formatCode="0.000"/>
    <numFmt numFmtId="191" formatCode="#,##0_ "/>
    <numFmt numFmtId="193" formatCode="0_ "/>
    <numFmt numFmtId="194" formatCode="0.0_ "/>
  </numFmts>
  <fonts count="57"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u/>
      <sz val="10"/>
      <color rgb="FF267EF0"/>
      <name val="等线"/>
      <family val="3"/>
      <charset val="134"/>
    </font>
    <font>
      <sz val="10"/>
      <color rgb="FF000000"/>
      <name val="等线"/>
      <family val="3"/>
      <charset val="134"/>
    </font>
    <font>
      <b/>
      <sz val="10"/>
      <color rgb="FF000000"/>
      <name val="等线"/>
      <family val="3"/>
      <charset val="134"/>
    </font>
    <font>
      <sz val="10"/>
      <color rgb="FF267EF0"/>
      <name val="等线"/>
      <family val="3"/>
      <charset val="134"/>
    </font>
    <font>
      <b/>
      <sz val="14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i/>
      <sz val="10"/>
      <color rgb="FF000000"/>
      <name val="等线"/>
      <family val="3"/>
      <charset val="134"/>
    </font>
    <font>
      <i/>
      <sz val="10"/>
      <name val="等线"/>
      <family val="3"/>
      <charset val="134"/>
    </font>
    <font>
      <b/>
      <sz val="10"/>
      <color rgb="FFFFFFFF"/>
      <name val="等线"/>
      <family val="3"/>
      <charset val="134"/>
    </font>
    <font>
      <b/>
      <sz val="10"/>
      <color rgb="FFFFFFFF"/>
      <name val="等线"/>
      <family val="3"/>
      <charset val="134"/>
    </font>
    <font>
      <b/>
      <sz val="10"/>
      <color rgb="FFFFFFFF"/>
      <name val="等线"/>
      <family val="3"/>
      <charset val="134"/>
    </font>
    <font>
      <i/>
      <sz val="10"/>
      <color rgb="FF000000"/>
      <name val="等线"/>
      <family val="3"/>
      <charset val="134"/>
    </font>
    <font>
      <i/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267EF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212121"/>
      <name val="-apple-system"/>
    </font>
    <font>
      <u/>
      <sz val="10"/>
      <color rgb="FF175CEB"/>
      <name val="等线"/>
      <family val="3"/>
      <charset val="134"/>
    </font>
    <font>
      <sz val="10"/>
      <color rgb="FFFF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u/>
      <sz val="10"/>
      <color rgb="FF267EF0"/>
      <name val="等线"/>
      <family val="3"/>
      <charset val="134"/>
    </font>
    <font>
      <b/>
      <sz val="10"/>
      <color rgb="FFC00000"/>
      <name val="等线"/>
      <family val="3"/>
      <charset val="134"/>
    </font>
    <font>
      <strike/>
      <sz val="10"/>
      <color rgb="FFFF0000"/>
      <name val="等线"/>
      <family val="3"/>
      <charset val="134"/>
    </font>
    <font>
      <sz val="10"/>
      <color rgb="FFFF0000"/>
      <name val="等线"/>
      <family val="3"/>
      <charset val="134"/>
    </font>
    <font>
      <u/>
      <sz val="10"/>
      <color rgb="FF175CEB"/>
      <name val="等线"/>
      <family val="3"/>
      <charset val="134"/>
    </font>
    <font>
      <strike/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sz val="10"/>
      <color rgb="FFFF0000"/>
      <name val="-apple-system"/>
    </font>
    <font>
      <sz val="10"/>
      <name val="等线"/>
      <family val="3"/>
      <charset val="134"/>
    </font>
    <font>
      <strike/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b/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b/>
      <sz val="10"/>
      <color rgb="FFC00000"/>
      <name val="等线"/>
      <family val="3"/>
      <charset val="134"/>
    </font>
    <font>
      <sz val="10"/>
      <color rgb="FF000000"/>
      <name val="等线"/>
      <family val="3"/>
      <charset val="134"/>
    </font>
    <font>
      <i/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u/>
      <sz val="10"/>
      <color rgb="FF267EF0"/>
      <name val="等线"/>
      <family val="3"/>
      <charset val="134"/>
    </font>
    <font>
      <b/>
      <i/>
      <sz val="10"/>
      <color rgb="FF000000"/>
      <name val="等线"/>
      <family val="3"/>
      <charset val="134"/>
    </font>
    <font>
      <i/>
      <sz val="10"/>
      <color rgb="FF267EF0"/>
      <name val="等线"/>
      <family val="3"/>
      <charset val="134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等线"/>
      <family val="3"/>
      <charset val="134"/>
    </font>
    <font>
      <u/>
      <sz val="10"/>
      <color rgb="FF267EF0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  <font>
      <u/>
      <sz val="10"/>
      <color rgb="FF175CEB"/>
      <name val="微软雅黑"/>
      <family val="2"/>
      <charset val="134"/>
    </font>
    <font>
      <i/>
      <sz val="10"/>
      <color rgb="FF000000"/>
      <name val="微软雅黑"/>
      <family val="2"/>
      <charset val="134"/>
    </font>
    <font>
      <i/>
      <sz val="10"/>
      <color rgb="FF267EF0"/>
      <name val="微软雅黑"/>
      <family val="2"/>
      <charset val="134"/>
    </font>
    <font>
      <sz val="9"/>
      <name val="等线"/>
      <family val="2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E1B2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CC000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EE4FF"/>
        <bgColor auto="1"/>
      </patternFill>
    </fill>
    <fill>
      <patternFill patternType="solid">
        <fgColor rgb="FFCC0000"/>
        <bgColor auto="1"/>
      </patternFill>
    </fill>
    <fill>
      <patternFill patternType="solid">
        <fgColor rgb="FF8CDDFA"/>
      </patternFill>
    </fill>
    <fill>
      <patternFill patternType="solid">
        <fgColor rgb="FFC7DCFF"/>
      </patternFill>
    </fill>
    <fill>
      <patternFill patternType="none"/>
    </fill>
    <fill>
      <patternFill patternType="solid">
        <fgColor rgb="FFA38200"/>
        <bgColor auto="1"/>
      </patternFill>
    </fill>
    <fill>
      <patternFill patternType="solid">
        <fgColor rgb="FF99DDFF"/>
      </patternFill>
    </fill>
    <fill>
      <patternFill patternType="none"/>
    </fill>
    <fill>
      <patternFill patternType="solid">
        <fgColor rgb="FFFFFF00"/>
      </patternFill>
    </fill>
    <fill>
      <patternFill patternType="solid">
        <fgColor rgb="FFF88825"/>
        <bgColor auto="1"/>
      </patternFill>
    </fill>
    <fill>
      <patternFill patternType="solid">
        <fgColor rgb="FFC00000"/>
        <bgColor auto="1"/>
      </patternFill>
    </fill>
    <fill>
      <patternFill patternType="solid">
        <fgColor rgb="FFFEE4FF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none">
        <fgColor rgb="FFFFFF00"/>
      </patternFill>
    </fill>
    <fill>
      <patternFill patternType="solid">
        <fgColor rgb="FFFDEBFF"/>
        <bgColor auto="1"/>
      </patternFill>
    </fill>
    <fill>
      <patternFill patternType="solid">
        <fgColor rgb="FFCFC7F4"/>
        <bgColor auto="1"/>
      </patternFill>
    </fill>
  </fills>
  <borders count="3"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5" fillId="2" borderId="0" xfId="0" applyFont="1" applyFill="1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7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4" borderId="0" xfId="0" applyFont="1" applyFill="1">
      <alignment vertical="center"/>
    </xf>
    <xf numFmtId="0" fontId="13" fillId="4" borderId="0" xfId="0" applyFont="1" applyFill="1" applyAlignment="1">
      <alignment horizontal="right" vertical="center"/>
    </xf>
    <xf numFmtId="0" fontId="14" fillId="2" borderId="0" xfId="0" applyFont="1" applyFill="1">
      <alignment vertical="center"/>
    </xf>
    <xf numFmtId="178" fontId="15" fillId="2" borderId="1" xfId="0" applyNumberFormat="1" applyFont="1" applyFill="1" applyBorder="1" applyAlignment="1">
      <alignment horizontal="right" vertical="center"/>
    </xf>
    <xf numFmtId="179" fontId="15" fillId="2" borderId="1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5" borderId="0" xfId="0" applyFill="1">
      <alignment vertical="center"/>
    </xf>
    <xf numFmtId="0" fontId="2" fillId="5" borderId="0" xfId="0" applyFont="1" applyFill="1">
      <alignment vertical="center"/>
    </xf>
    <xf numFmtId="10" fontId="0" fillId="5" borderId="0" xfId="0" applyNumberFormat="1" applyFill="1">
      <alignment vertical="center"/>
    </xf>
    <xf numFmtId="177" fontId="0" fillId="5" borderId="0" xfId="0" applyNumberFormat="1" applyFill="1">
      <alignment vertical="center"/>
    </xf>
    <xf numFmtId="181" fontId="0" fillId="5" borderId="0" xfId="0" applyNumberFormat="1" applyFill="1">
      <alignment vertical="center"/>
    </xf>
    <xf numFmtId="0" fontId="2" fillId="6" borderId="0" xfId="0" applyFont="1" applyFill="1">
      <alignment vertical="center"/>
    </xf>
    <xf numFmtId="183" fontId="13" fillId="4" borderId="0" xfId="0" applyNumberFormat="1" applyFont="1" applyFill="1">
      <alignment vertical="center"/>
    </xf>
    <xf numFmtId="183" fontId="13" fillId="4" borderId="0" xfId="0" applyNumberFormat="1" applyFont="1" applyFill="1" applyAlignment="1">
      <alignment horizontal="right" vertical="center"/>
    </xf>
    <xf numFmtId="183" fontId="12" fillId="4" borderId="0" xfId="0" applyNumberFormat="1" applyFont="1" applyFill="1" applyAlignment="1">
      <alignment horizontal="right" vertical="center"/>
    </xf>
    <xf numFmtId="177" fontId="12" fillId="4" borderId="0" xfId="0" applyNumberFormat="1" applyFont="1" applyFill="1" applyAlignment="1">
      <alignment horizontal="right" vertical="center"/>
    </xf>
    <xf numFmtId="181" fontId="12" fillId="4" borderId="0" xfId="0" applyNumberFormat="1" applyFont="1" applyFill="1" applyAlignment="1">
      <alignment horizontal="right" vertical="center"/>
    </xf>
    <xf numFmtId="14" fontId="12" fillId="4" borderId="0" xfId="0" applyNumberFormat="1" applyFont="1" applyFill="1" applyAlignment="1">
      <alignment horizontal="right" vertical="center"/>
    </xf>
    <xf numFmtId="181" fontId="12" fillId="7" borderId="0" xfId="0" applyNumberFormat="1" applyFont="1" applyFill="1" applyAlignment="1">
      <alignment horizontal="right" vertical="center"/>
    </xf>
    <xf numFmtId="49" fontId="6" fillId="0" borderId="0" xfId="0" applyNumberFormat="1" applyFont="1">
      <alignment vertical="center"/>
    </xf>
    <xf numFmtId="0" fontId="0" fillId="6" borderId="0" xfId="0" applyFill="1">
      <alignment vertical="center"/>
    </xf>
    <xf numFmtId="0" fontId="0" fillId="6" borderId="0" xfId="0" applyFill="1">
      <alignment vertical="center"/>
    </xf>
    <xf numFmtId="177" fontId="0" fillId="6" borderId="0" xfId="0" applyNumberFormat="1" applyFill="1">
      <alignment vertical="center"/>
    </xf>
    <xf numFmtId="177" fontId="17" fillId="6" borderId="0" xfId="0" applyNumberFormat="1" applyFont="1" applyFill="1">
      <alignment vertical="center"/>
    </xf>
    <xf numFmtId="177" fontId="18" fillId="6" borderId="0" xfId="0" applyNumberFormat="1" applyFont="1" applyFill="1">
      <alignment vertical="center"/>
    </xf>
    <xf numFmtId="0" fontId="4" fillId="0" borderId="0" xfId="0" applyFont="1">
      <alignment vertical="center"/>
    </xf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0" fontId="20" fillId="6" borderId="0" xfId="0" applyFont="1" applyFill="1">
      <alignment vertical="center"/>
    </xf>
    <xf numFmtId="4" fontId="21" fillId="0" borderId="0" xfId="0" applyNumberFormat="1" applyFont="1">
      <alignment vertical="center"/>
    </xf>
    <xf numFmtId="176" fontId="0" fillId="8" borderId="0" xfId="0" applyNumberFormat="1" applyFill="1">
      <alignment vertical="center"/>
    </xf>
    <xf numFmtId="176" fontId="0" fillId="9" borderId="0" xfId="0" applyNumberFormat="1" applyFill="1">
      <alignment vertical="center"/>
    </xf>
    <xf numFmtId="2" fontId="0" fillId="8" borderId="0" xfId="0" applyNumberFormat="1" applyFill="1">
      <alignment vertical="center"/>
    </xf>
    <xf numFmtId="2" fontId="0" fillId="9" borderId="0" xfId="0" applyNumberFormat="1" applyFill="1">
      <alignment vertical="center"/>
    </xf>
    <xf numFmtId="49" fontId="22" fillId="0" borderId="0" xfId="0" applyNumberFormat="1" applyFont="1">
      <alignment vertical="center"/>
    </xf>
    <xf numFmtId="177" fontId="23" fillId="6" borderId="0" xfId="0" applyNumberFormat="1" applyFont="1" applyFill="1">
      <alignment vertical="center"/>
    </xf>
    <xf numFmtId="177" fontId="24" fillId="6" borderId="0" xfId="0" applyNumberFormat="1" applyFont="1" applyFill="1">
      <alignment vertical="center"/>
    </xf>
    <xf numFmtId="177" fontId="18" fillId="0" borderId="0" xfId="0" applyNumberFormat="1" applyFont="1">
      <alignment vertical="center"/>
    </xf>
    <xf numFmtId="176" fontId="0" fillId="10" borderId="0" xfId="0" applyNumberFormat="1" applyFill="1">
      <alignment vertical="center"/>
    </xf>
    <xf numFmtId="0" fontId="25" fillId="6" borderId="0" xfId="0" applyFont="1" applyFill="1">
      <alignment vertical="center"/>
    </xf>
    <xf numFmtId="181" fontId="0" fillId="11" borderId="0" xfId="0" applyNumberFormat="1" applyFill="1">
      <alignment vertical="center"/>
    </xf>
    <xf numFmtId="49" fontId="26" fillId="0" borderId="0" xfId="0" applyNumberFormat="1" applyFont="1">
      <alignment vertical="center"/>
    </xf>
    <xf numFmtId="184" fontId="0" fillId="6" borderId="0" xfId="0" applyNumberFormat="1" applyFill="1">
      <alignment vertical="center"/>
    </xf>
    <xf numFmtId="177" fontId="27" fillId="6" borderId="0" xfId="0" applyNumberFormat="1" applyFont="1" applyFill="1">
      <alignment vertical="center"/>
    </xf>
    <xf numFmtId="185" fontId="0" fillId="12" borderId="0" xfId="0" applyNumberFormat="1" applyFill="1">
      <alignment vertical="center"/>
    </xf>
    <xf numFmtId="0" fontId="28" fillId="6" borderId="0" xfId="0" applyFont="1" applyFill="1">
      <alignment vertical="center"/>
    </xf>
    <xf numFmtId="177" fontId="0" fillId="6" borderId="0" xfId="0" applyNumberFormat="1" applyFill="1" applyAlignment="1">
      <alignment horizontal="right" vertical="center"/>
    </xf>
    <xf numFmtId="177" fontId="29" fillId="6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176" fontId="18" fillId="0" borderId="0" xfId="0" applyNumberFormat="1" applyFont="1">
      <alignment vertical="center"/>
    </xf>
    <xf numFmtId="0" fontId="0" fillId="13" borderId="0" xfId="0" applyFill="1">
      <alignment vertical="center"/>
    </xf>
    <xf numFmtId="177" fontId="0" fillId="0" borderId="0" xfId="0" applyNumberFormat="1" applyAlignment="1">
      <alignment horizontal="right" vertical="center"/>
    </xf>
    <xf numFmtId="49" fontId="30" fillId="0" borderId="0" xfId="0" applyNumberFormat="1" applyFont="1">
      <alignment vertical="center"/>
    </xf>
    <xf numFmtId="184" fontId="0" fillId="13" borderId="0" xfId="0" applyNumberFormat="1" applyFill="1">
      <alignment vertical="center"/>
    </xf>
    <xf numFmtId="177" fontId="31" fillId="6" borderId="0" xfId="0" applyNumberFormat="1" applyFont="1" applyFill="1">
      <alignment vertical="center"/>
    </xf>
    <xf numFmtId="177" fontId="32" fillId="6" borderId="0" xfId="0" applyNumberFormat="1" applyFont="1" applyFill="1">
      <alignment vertical="center"/>
    </xf>
    <xf numFmtId="0" fontId="8" fillId="13" borderId="0" xfId="0" applyFont="1" applyFill="1">
      <alignment vertical="center"/>
    </xf>
    <xf numFmtId="177" fontId="33" fillId="13" borderId="0" xfId="0" applyNumberFormat="1" applyFont="1" applyFill="1">
      <alignment vertical="center"/>
    </xf>
    <xf numFmtId="177" fontId="0" fillId="13" borderId="0" xfId="0" applyNumberFormat="1" applyFill="1">
      <alignment vertical="center"/>
    </xf>
    <xf numFmtId="181" fontId="0" fillId="13" borderId="0" xfId="0" applyNumberFormat="1" applyFill="1">
      <alignment vertical="center"/>
    </xf>
    <xf numFmtId="0" fontId="0" fillId="14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2" fontId="0" fillId="0" borderId="0" xfId="0" applyNumberFormat="1">
      <alignment vertical="center"/>
    </xf>
    <xf numFmtId="0" fontId="1" fillId="6" borderId="0" xfId="0" applyFont="1" applyFill="1">
      <alignment vertical="center"/>
    </xf>
    <xf numFmtId="183" fontId="11" fillId="4" borderId="0" xfId="0" applyNumberFormat="1" applyFont="1" applyFill="1">
      <alignment vertical="center"/>
    </xf>
    <xf numFmtId="183" fontId="11" fillId="4" borderId="0" xfId="0" applyNumberFormat="1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0" fillId="6" borderId="0" xfId="0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177" fontId="34" fillId="6" borderId="0" xfId="0" applyNumberFormat="1" applyFont="1" applyFill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17" fillId="6" borderId="0" xfId="0" applyNumberFormat="1" applyFont="1" applyFill="1" applyAlignment="1">
      <alignment horizontal="center" vertical="center"/>
    </xf>
    <xf numFmtId="177" fontId="16" fillId="6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18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6" borderId="0" xfId="0" applyFont="1" applyFill="1">
      <alignment vertical="center"/>
    </xf>
    <xf numFmtId="184" fontId="0" fillId="6" borderId="0" xfId="0" applyNumberFormat="1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77" fontId="0" fillId="11" borderId="0" xfId="0" applyNumberFormat="1" applyFill="1" applyAlignment="1">
      <alignment horizontal="center" vertical="center"/>
    </xf>
    <xf numFmtId="181" fontId="0" fillId="13" borderId="0" xfId="0" applyNumberFormat="1" applyFill="1" applyAlignment="1">
      <alignment horizontal="center" vertical="center"/>
    </xf>
    <xf numFmtId="176" fontId="0" fillId="10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7" fontId="23" fillId="6" borderId="0" xfId="0" applyNumberFormat="1" applyFont="1" applyFill="1" applyAlignment="1">
      <alignment horizontal="center" vertical="center"/>
    </xf>
    <xf numFmtId="177" fontId="24" fillId="6" borderId="0" xfId="0" applyNumberFormat="1" applyFon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36" fillId="0" borderId="0" xfId="0" applyNumberFormat="1" applyFont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177" fontId="27" fillId="6" borderId="0" xfId="0" applyNumberFormat="1" applyFont="1" applyFill="1" applyAlignment="1">
      <alignment horizontal="center" vertical="center"/>
    </xf>
    <xf numFmtId="176" fontId="0" fillId="13" borderId="0" xfId="0" applyNumberFormat="1" applyFill="1" applyAlignment="1">
      <alignment horizontal="center" vertical="center"/>
    </xf>
    <xf numFmtId="0" fontId="37" fillId="6" borderId="0" xfId="0" applyFont="1" applyFill="1">
      <alignment vertical="center"/>
    </xf>
    <xf numFmtId="177" fontId="29" fillId="6" borderId="0" xfId="0" applyNumberFormat="1" applyFont="1" applyFill="1" applyAlignment="1">
      <alignment horizontal="center" vertical="center"/>
    </xf>
    <xf numFmtId="177" fontId="33" fillId="13" borderId="0" xfId="0" applyNumberFormat="1" applyFont="1" applyFill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5" fontId="18" fillId="0" borderId="0" xfId="0" applyNumberFormat="1" applyFon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0" fontId="0" fillId="13" borderId="0" xfId="0" applyFill="1" applyAlignment="1">
      <alignment horizontal="center" vertical="center"/>
    </xf>
    <xf numFmtId="177" fontId="0" fillId="9" borderId="0" xfId="0" applyNumberFormat="1" applyFill="1" applyAlignment="1">
      <alignment horizontal="center" vertical="center"/>
    </xf>
    <xf numFmtId="177" fontId="0" fillId="10" borderId="0" xfId="0" applyNumberFormat="1" applyFill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77" fontId="31" fillId="6" borderId="0" xfId="0" applyNumberFormat="1" applyFont="1" applyFill="1" applyAlignment="1">
      <alignment horizontal="center" vertical="center"/>
    </xf>
    <xf numFmtId="177" fontId="32" fillId="6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77" fontId="0" fillId="13" borderId="0" xfId="0" applyNumberFormat="1" applyFill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0" fontId="38" fillId="0" borderId="0" xfId="0" applyFont="1">
      <alignment vertical="center"/>
    </xf>
    <xf numFmtId="0" fontId="34" fillId="6" borderId="0" xfId="0" applyFont="1" applyFill="1">
      <alignment vertical="center"/>
    </xf>
    <xf numFmtId="0" fontId="39" fillId="6" borderId="0" xfId="0" applyFont="1" applyFill="1" applyAlignment="1">
      <alignment horizontal="right" vertical="center"/>
    </xf>
    <xf numFmtId="0" fontId="34" fillId="0" borderId="0" xfId="0" applyFont="1">
      <alignment vertical="center"/>
    </xf>
    <xf numFmtId="177" fontId="34" fillId="0" borderId="0" xfId="0" applyNumberFormat="1" applyFont="1">
      <alignment vertical="center"/>
    </xf>
    <xf numFmtId="181" fontId="34" fillId="0" borderId="0" xfId="0" applyNumberFormat="1" applyFont="1">
      <alignment vertical="center"/>
    </xf>
    <xf numFmtId="0" fontId="17" fillId="0" borderId="0" xfId="0" applyFont="1">
      <alignment vertical="center"/>
    </xf>
    <xf numFmtId="0" fontId="17" fillId="6" borderId="0" xfId="0" applyFont="1" applyFill="1">
      <alignment vertical="center"/>
    </xf>
    <xf numFmtId="0" fontId="1" fillId="6" borderId="0" xfId="0" applyFont="1" applyFill="1" applyAlignment="1">
      <alignment horizontal="right" vertical="center"/>
    </xf>
    <xf numFmtId="0" fontId="18" fillId="0" borderId="0" xfId="0" applyFont="1">
      <alignment vertical="center"/>
    </xf>
    <xf numFmtId="177" fontId="17" fillId="0" borderId="0" xfId="0" applyNumberFormat="1" applyFont="1">
      <alignment vertical="center"/>
    </xf>
    <xf numFmtId="181" fontId="40" fillId="0" borderId="0" xfId="0" applyNumberFormat="1" applyFont="1">
      <alignment vertical="center"/>
    </xf>
    <xf numFmtId="0" fontId="41" fillId="0" borderId="0" xfId="0" applyFont="1">
      <alignment vertical="center"/>
    </xf>
    <xf numFmtId="0" fontId="2" fillId="6" borderId="0" xfId="0" applyFont="1" applyFill="1" applyAlignment="1">
      <alignment horizontal="right" vertical="center"/>
    </xf>
    <xf numFmtId="0" fontId="0" fillId="3" borderId="0" xfId="0" applyFill="1">
      <alignment vertical="center"/>
    </xf>
    <xf numFmtId="0" fontId="2" fillId="15" borderId="0" xfId="0" applyFont="1" applyFill="1">
      <alignment vertical="center"/>
    </xf>
    <xf numFmtId="0" fontId="42" fillId="6" borderId="0" xfId="0" applyFont="1" applyFill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16" fillId="6" borderId="0" xfId="0" applyFont="1" applyFill="1" applyAlignment="1">
      <alignment horizontal="right" vertical="center"/>
    </xf>
    <xf numFmtId="0" fontId="0" fillId="11" borderId="0" xfId="0" applyFill="1">
      <alignment vertical="center"/>
    </xf>
    <xf numFmtId="0" fontId="31" fillId="6" borderId="0" xfId="0" applyFont="1" applyFill="1" applyAlignment="1">
      <alignment horizontal="right" vertical="center"/>
    </xf>
    <xf numFmtId="3" fontId="0" fillId="0" borderId="0" xfId="0" applyNumberFormat="1">
      <alignment vertical="center"/>
    </xf>
    <xf numFmtId="0" fontId="4" fillId="6" borderId="0" xfId="0" applyFont="1" applyFill="1" applyAlignment="1">
      <alignment horizontal="right" vertical="center"/>
    </xf>
    <xf numFmtId="0" fontId="37" fillId="6" borderId="0" xfId="0" applyFont="1" applyFill="1" applyAlignment="1">
      <alignment horizontal="right" vertical="center"/>
    </xf>
    <xf numFmtId="0" fontId="43" fillId="0" borderId="0" xfId="0" applyFont="1">
      <alignment vertical="center"/>
    </xf>
    <xf numFmtId="0" fontId="44" fillId="10" borderId="0" xfId="0" applyFont="1" applyFill="1" applyAlignment="1">
      <alignment horizontal="center" vertical="center"/>
    </xf>
    <xf numFmtId="0" fontId="44" fillId="17" borderId="0" xfId="0" applyFont="1" applyFill="1" applyAlignment="1">
      <alignment horizontal="center" vertical="center"/>
    </xf>
    <xf numFmtId="181" fontId="12" fillId="7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9" borderId="0" xfId="0" applyNumberFormat="1" applyFill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190" fontId="0" fillId="9" borderId="0" xfId="0" applyNumberFormat="1" applyFill="1" applyAlignment="1">
      <alignment horizontal="center" vertical="center"/>
    </xf>
    <xf numFmtId="190" fontId="0" fillId="10" borderId="0" xfId="0" applyNumberFormat="1" applyFill="1" applyAlignment="1">
      <alignment horizontal="center" vertical="center"/>
    </xf>
    <xf numFmtId="0" fontId="18" fillId="18" borderId="0" xfId="0" applyFont="1" applyFill="1" applyAlignment="1">
      <alignment horizontal="left" vertical="center"/>
    </xf>
    <xf numFmtId="0" fontId="18" fillId="19" borderId="0" xfId="0" applyFont="1" applyFill="1" applyAlignment="1">
      <alignment horizontal="left" vertical="center"/>
    </xf>
    <xf numFmtId="2" fontId="18" fillId="19" borderId="0" xfId="0" applyNumberFormat="1" applyFont="1" applyFill="1" applyAlignment="1">
      <alignment horizontal="center" vertical="center"/>
    </xf>
    <xf numFmtId="2" fontId="18" fillId="20" borderId="0" xfId="0" applyNumberFormat="1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190" fontId="18" fillId="14" borderId="0" xfId="0" applyNumberFormat="1" applyFont="1" applyFill="1" applyAlignment="1">
      <alignment horizontal="center" vertical="center"/>
    </xf>
    <xf numFmtId="190" fontId="0" fillId="18" borderId="0" xfId="0" applyNumberFormat="1" applyFill="1" applyAlignment="1">
      <alignment horizontal="center" vertical="center"/>
    </xf>
    <xf numFmtId="0" fontId="0" fillId="18" borderId="0" xfId="0" applyFill="1">
      <alignment vertical="center"/>
    </xf>
    <xf numFmtId="0" fontId="2" fillId="10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14" fillId="0" borderId="0" xfId="0" applyFont="1">
      <alignment vertical="center"/>
    </xf>
    <xf numFmtId="2" fontId="15" fillId="2" borderId="1" xfId="0" applyNumberFormat="1" applyFont="1" applyFill="1" applyBorder="1" applyAlignment="1">
      <alignment horizontal="right" vertical="center"/>
    </xf>
    <xf numFmtId="2" fontId="3" fillId="0" borderId="0" xfId="0" applyNumberFormat="1" applyFont="1">
      <alignment vertical="center"/>
    </xf>
    <xf numFmtId="49" fontId="45" fillId="0" borderId="0" xfId="0" applyNumberFormat="1" applyFont="1">
      <alignment vertical="center"/>
    </xf>
    <xf numFmtId="0" fontId="15" fillId="2" borderId="0" xfId="0" applyFont="1" applyFill="1">
      <alignment vertical="center"/>
    </xf>
    <xf numFmtId="2" fontId="0" fillId="3" borderId="0" xfId="0" applyNumberFormat="1" applyFill="1">
      <alignment vertical="center"/>
    </xf>
    <xf numFmtId="0" fontId="2" fillId="22" borderId="0" xfId="0" applyFont="1" applyFill="1">
      <alignment vertical="center"/>
    </xf>
    <xf numFmtId="0" fontId="16" fillId="0" borderId="0" xfId="0" applyFont="1">
      <alignment vertical="center"/>
    </xf>
    <xf numFmtId="0" fontId="46" fillId="2" borderId="0" xfId="0" applyFont="1" applyFill="1">
      <alignment vertical="center"/>
    </xf>
    <xf numFmtId="177" fontId="15" fillId="2" borderId="1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vertical="center" wrapText="1"/>
    </xf>
    <xf numFmtId="3" fontId="16" fillId="0" borderId="0" xfId="0" applyNumberFormat="1" applyFont="1">
      <alignment vertical="center"/>
    </xf>
    <xf numFmtId="0" fontId="24" fillId="0" borderId="0" xfId="0" applyFont="1">
      <alignment vertical="center"/>
    </xf>
    <xf numFmtId="177" fontId="16" fillId="0" borderId="0" xfId="0" applyNumberFormat="1" applyFont="1">
      <alignment vertical="center"/>
    </xf>
    <xf numFmtId="177" fontId="0" fillId="3" borderId="0" xfId="0" applyNumberFormat="1" applyFill="1">
      <alignment vertical="center"/>
    </xf>
    <xf numFmtId="0" fontId="47" fillId="2" borderId="0" xfId="0" applyFont="1" applyFill="1">
      <alignment vertical="center"/>
    </xf>
    <xf numFmtId="0" fontId="4" fillId="22" borderId="0" xfId="0" applyFont="1" applyFill="1">
      <alignment vertical="center"/>
    </xf>
    <xf numFmtId="188" fontId="14" fillId="2" borderId="1" xfId="0" applyNumberFormat="1" applyFont="1" applyFill="1" applyBorder="1" applyAlignment="1">
      <alignment horizontal="right" vertical="center"/>
    </xf>
    <xf numFmtId="188" fontId="15" fillId="2" borderId="1" xfId="0" applyNumberFormat="1" applyFont="1" applyFill="1" applyBorder="1" applyAlignment="1">
      <alignment horizontal="right" vertical="center"/>
    </xf>
    <xf numFmtId="188" fontId="3" fillId="0" borderId="0" xfId="0" applyNumberFormat="1" applyFont="1">
      <alignment vertical="center"/>
    </xf>
    <xf numFmtId="188" fontId="0" fillId="0" borderId="0" xfId="0" applyNumberFormat="1">
      <alignment vertical="center"/>
    </xf>
    <xf numFmtId="180" fontId="15" fillId="2" borderId="1" xfId="0" applyNumberFormat="1" applyFont="1" applyFill="1" applyBorder="1" applyAlignment="1">
      <alignment horizontal="right" vertical="center"/>
    </xf>
    <xf numFmtId="0" fontId="48" fillId="16" borderId="2" xfId="0" applyFont="1" applyFill="1" applyBorder="1">
      <alignment vertical="center"/>
    </xf>
    <xf numFmtId="0" fontId="48" fillId="16" borderId="2" xfId="0" applyFont="1" applyFill="1" applyBorder="1" applyAlignment="1">
      <alignment horizontal="right" vertical="center"/>
    </xf>
    <xf numFmtId="191" fontId="0" fillId="0" borderId="0" xfId="0" applyNumberFormat="1">
      <alignment vertical="center"/>
    </xf>
    <xf numFmtId="193" fontId="0" fillId="0" borderId="0" xfId="0" applyNumberFormat="1">
      <alignment vertical="center"/>
    </xf>
    <xf numFmtId="0" fontId="49" fillId="16" borderId="2" xfId="0" applyFont="1" applyFill="1" applyBorder="1" applyAlignment="1">
      <alignment horizontal="right" vertical="center"/>
    </xf>
    <xf numFmtId="191" fontId="2" fillId="0" borderId="0" xfId="0" applyNumberFormat="1" applyFont="1">
      <alignment vertical="center"/>
    </xf>
    <xf numFmtId="9" fontId="4" fillId="0" borderId="0" xfId="0" applyNumberFormat="1" applyFont="1">
      <alignment vertical="center"/>
    </xf>
    <xf numFmtId="9" fontId="0" fillId="0" borderId="0" xfId="0" applyNumberFormat="1">
      <alignment vertical="center"/>
    </xf>
    <xf numFmtId="0" fontId="0" fillId="23" borderId="0" xfId="0" applyFill="1">
      <alignment vertical="center"/>
    </xf>
    <xf numFmtId="191" fontId="0" fillId="23" borderId="0" xfId="0" applyNumberFormat="1" applyFill="1">
      <alignment vertical="center"/>
    </xf>
    <xf numFmtId="193" fontId="2" fillId="0" borderId="0" xfId="0" applyNumberFormat="1" applyFont="1">
      <alignment vertical="center"/>
    </xf>
    <xf numFmtId="3" fontId="50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94" fontId="0" fillId="0" borderId="0" xfId="0" applyNumberFormat="1">
      <alignment vertical="center"/>
    </xf>
    <xf numFmtId="0" fontId="0" fillId="21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oinp2p.com/" TargetMode="External"/><Relationship Id="rId3" Type="http://schemas.openxmlformats.org/officeDocument/2006/relationships/hyperlink" Target="https://www.kreditpintar.com/en-us/about-us" TargetMode="External"/><Relationship Id="rId7" Type="http://schemas.openxmlformats.org/officeDocument/2006/relationships/hyperlink" Target="https://maucash.id/datadisclosure" TargetMode="External"/><Relationship Id="rId2" Type="http://schemas.openxmlformats.org/officeDocument/2006/relationships/hyperlink" Target="https://www.asetku.co.id/" TargetMode="External"/><Relationship Id="rId1" Type="http://schemas.openxmlformats.org/officeDocument/2006/relationships/hyperlink" Target="https://kredifazz.id/disclosure.html" TargetMode="External"/><Relationship Id="rId6" Type="http://schemas.openxmlformats.org/officeDocument/2006/relationships/hyperlink" Target="https://www.julo.co.id/about" TargetMode="External"/><Relationship Id="rId11" Type="http://schemas.openxmlformats.org/officeDocument/2006/relationships/hyperlink" Target="https://www.adapundi.com/about/achievements" TargetMode="External"/><Relationship Id="rId5" Type="http://schemas.openxmlformats.org/officeDocument/2006/relationships/hyperlink" Target="https://www.uangme.id/aboutus" TargetMode="External"/><Relationship Id="rId10" Type="http://schemas.openxmlformats.org/officeDocument/2006/relationships/hyperlink" Target="https://app.modalku.co.id/progress" TargetMode="External"/><Relationship Id="rId4" Type="http://schemas.openxmlformats.org/officeDocument/2006/relationships/hyperlink" Target="https://easycash.id/about/us/company-team" TargetMode="External"/><Relationship Id="rId9" Type="http://schemas.openxmlformats.org/officeDocument/2006/relationships/hyperlink" Target="https://investree.id/e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injamyuk.co.id/" TargetMode="External"/><Relationship Id="rId7" Type="http://schemas.openxmlformats.org/officeDocument/2006/relationships/hyperlink" Target="https://www.samir.co.id/beranda?type=1" TargetMode="External"/><Relationship Id="rId2" Type="http://schemas.openxmlformats.org/officeDocument/2006/relationships/hyperlink" Target="https://lumbungdana.co.id/" TargetMode="External"/><Relationship Id="rId1" Type="http://schemas.openxmlformats.org/officeDocument/2006/relationships/hyperlink" Target="https://indosaku.com/Tentang%20Kami.html" TargetMode="External"/><Relationship Id="rId6" Type="http://schemas.openxmlformats.org/officeDocument/2006/relationships/hyperlink" Target="https://www.kredione.id/" TargetMode="External"/><Relationship Id="rId5" Type="http://schemas.openxmlformats.org/officeDocument/2006/relationships/hyperlink" Target="https://www.uatas.id/webOfficial/about-us/" TargetMode="External"/><Relationship Id="rId4" Type="http://schemas.openxmlformats.org/officeDocument/2006/relationships/hyperlink" Target="https://www.bantusaku.id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dbtifa.co.id/id/investor/laporan-dan-pernyataan/laporan-tahunan" TargetMode="External"/><Relationship Id="rId18" Type="http://schemas.openxmlformats.org/officeDocument/2006/relationships/hyperlink" Target="https://www.brifinance.co.id/site/laporan_tahunan" TargetMode="External"/><Relationship Id="rId26" Type="http://schemas.openxmlformats.org/officeDocument/2006/relationships/hyperlink" Target="https://mandalafinance.com/en/investor-information/" TargetMode="External"/><Relationship Id="rId21" Type="http://schemas.openxmlformats.org/officeDocument/2006/relationships/hyperlink" Target="https://bcafinance.co.id/tentang-kami" TargetMode="External"/><Relationship Id="rId34" Type="http://schemas.openxmlformats.org/officeDocument/2006/relationships/hyperlink" Target="https://www.akulaku.com/relations-investor" TargetMode="External"/><Relationship Id="rId7" Type="http://schemas.openxmlformats.org/officeDocument/2006/relationships/hyperlink" Target="https://www.bfi.co.id/en/corporate/Investor-Relations/Financial-Performance?t=1" TargetMode="External"/><Relationship Id="rId12" Type="http://schemas.openxmlformats.org/officeDocument/2006/relationships/hyperlink" Target="https://paf.co.id/laporan" TargetMode="External"/><Relationship Id="rId17" Type="http://schemas.openxmlformats.org/officeDocument/2006/relationships/hyperlink" Target="https://finansial.bisnis.com/read/20231008/90/1702029/rate-industri-25-persen-per-bulan-segini-bunga-paylater-bca-dan-mandiri" TargetMode="External"/><Relationship Id="rId25" Type="http://schemas.openxmlformats.org/officeDocument/2006/relationships/hyperlink" Target="https://www.radanafinance.co.id/financial-reports?year=2023" TargetMode="External"/><Relationship Id="rId33" Type="http://schemas.openxmlformats.org/officeDocument/2006/relationships/hyperlink" Target="https://finansial.bisnis.com/read/20231116/89/1714978/wom-finance-womf-bidik-laba-tumbuh-7-pembiayaan-5-pada-2024" TargetMode="External"/><Relationship Id="rId2" Type="http://schemas.openxmlformats.org/officeDocument/2006/relationships/hyperlink" Target="https://finansial.bisnis.com/read/20231025/89/1707768/bri-finance-salurkan-piutang-pembiayaan-rp419-triliun-pada-kuartal-iii2023" TargetMode="External"/><Relationship Id="rId16" Type="http://schemas.openxmlformats.org/officeDocument/2006/relationships/hyperlink" Target="https://www.akulaku.com/relations-investor" TargetMode="External"/><Relationship Id="rId20" Type="http://schemas.openxmlformats.org/officeDocument/2006/relationships/hyperlink" Target="https://finansial.bisnis.com/read/20231101/89/1710215/laba-adira-finance-admf-tembus-rp13-triliun-naik-17-yoy" TargetMode="External"/><Relationship Id="rId29" Type="http://schemas.openxmlformats.org/officeDocument/2006/relationships/hyperlink" Target="https://www.kdbtifa.co.id/id/investor/laporan-dan-pernyataan/laporan-tahunan" TargetMode="External"/><Relationship Id="rId1" Type="http://schemas.openxmlformats.org/officeDocument/2006/relationships/hyperlink" Target="https://www.brifinance.co.id/site/laporan_tahunan" TargetMode="External"/><Relationship Id="rId6" Type="http://schemas.openxmlformats.org/officeDocument/2006/relationships/hyperlink" Target="https://clipan.co.id/perusahaan/hubungan-investor/" TargetMode="External"/><Relationship Id="rId11" Type="http://schemas.openxmlformats.org/officeDocument/2006/relationships/hyperlink" Target="https://mandalafinance.com/en/investor-information/" TargetMode="External"/><Relationship Id="rId24" Type="http://schemas.openxmlformats.org/officeDocument/2006/relationships/hyperlink" Target="https://fujifinance.com/annual-reports/" TargetMode="External"/><Relationship Id="rId32" Type="http://schemas.openxmlformats.org/officeDocument/2006/relationships/hyperlink" Target="https://www.wom.co.id/annual-report" TargetMode="External"/><Relationship Id="rId37" Type="http://schemas.openxmlformats.org/officeDocument/2006/relationships/hyperlink" Target="https://finansial.bisnis.com/read/20231025/89/1707768/bri-finance-salurkan-piutang-pembiayaan-rp419-triliun-pada-kuartal-iii2023" TargetMode="External"/><Relationship Id="rId5" Type="http://schemas.openxmlformats.org/officeDocument/2006/relationships/hyperlink" Target="https://bcafinance.co.id/tentang-kami" TargetMode="External"/><Relationship Id="rId15" Type="http://schemas.openxmlformats.org/officeDocument/2006/relationships/hyperlink" Target="https://www.mizuho-ls.co.id/investor/annual-report" TargetMode="External"/><Relationship Id="rId23" Type="http://schemas.openxmlformats.org/officeDocument/2006/relationships/hyperlink" Target="https://woorifinance.co.id/en/category/laporan-tahunan/" TargetMode="External"/><Relationship Id="rId28" Type="http://schemas.openxmlformats.org/officeDocument/2006/relationships/hyperlink" Target="https://paf.co.id/laporan" TargetMode="External"/><Relationship Id="rId36" Type="http://schemas.openxmlformats.org/officeDocument/2006/relationships/hyperlink" Target="https://finansial.bisnis.com/read/20240118/89/1733474/kredit-motor-listrik-wom-finance-milik-maybank-dan-boy-thohir-mulai-terima-aplikasi" TargetMode="External"/><Relationship Id="rId10" Type="http://schemas.openxmlformats.org/officeDocument/2006/relationships/hyperlink" Target="https://www.radanafinance.co.id/financial-reports?year=2023" TargetMode="External"/><Relationship Id="rId19" Type="http://schemas.openxmlformats.org/officeDocument/2006/relationships/hyperlink" Target="https://finansial.bisnis.com/read/20231025/89/1707768/bri-finance-salurkan-piutang-pembiayaan-rp419-triliun-pada-kuartal-iii2023" TargetMode="External"/><Relationship Id="rId31" Type="http://schemas.openxmlformats.org/officeDocument/2006/relationships/hyperlink" Target="https://www.mizuho-ls.co.id/investor/annual-report" TargetMode="External"/><Relationship Id="rId4" Type="http://schemas.openxmlformats.org/officeDocument/2006/relationships/hyperlink" Target="https://finansial.bisnis.com/read/20240122/89/1734374/adira-finance-salurkan-rp189-miliar-untuk-kredit-motor-dan-mobil-listrik-pada-2023" TargetMode="External"/><Relationship Id="rId9" Type="http://schemas.openxmlformats.org/officeDocument/2006/relationships/hyperlink" Target="https://fujifinance.com/annual-reports/" TargetMode="External"/><Relationship Id="rId14" Type="http://schemas.openxmlformats.org/officeDocument/2006/relationships/hyperlink" Target="https://www.trustfinanceindonesia.com/laporantahunan" TargetMode="External"/><Relationship Id="rId22" Type="http://schemas.openxmlformats.org/officeDocument/2006/relationships/hyperlink" Target="https://clipan.co.id/perusahaan/hubungan-investor/" TargetMode="External"/><Relationship Id="rId27" Type="http://schemas.openxmlformats.org/officeDocument/2006/relationships/hyperlink" Target="https://finansial.bisnis.com/read/20231118/89/1715686/status-akuisisi-mandala-finance-oleh-adira-tunggu-persetujuan-ojk" TargetMode="External"/><Relationship Id="rId30" Type="http://schemas.openxmlformats.org/officeDocument/2006/relationships/hyperlink" Target="https://www.trustfinanceindonesia.com/laporantahunan" TargetMode="External"/><Relationship Id="rId35" Type="http://schemas.openxmlformats.org/officeDocument/2006/relationships/hyperlink" Target="https://finansial.bisnis.com/read/20231119/89/1715706/subsidi-konversi-motor-listrik-rp10-juta-ini-strategi-adira-finance-admf" TargetMode="External"/><Relationship Id="rId8" Type="http://schemas.openxmlformats.org/officeDocument/2006/relationships/hyperlink" Target="https://woorifinance.co.id/en/category/laporan-tahunan/" TargetMode="External"/><Relationship Id="rId3" Type="http://schemas.openxmlformats.org/officeDocument/2006/relationships/hyperlink" Target="https://finansial.bisnis.com/read/20231101/89/1710215/laba-adira-finance-admf-tembus-rp13-triliun-naik-17-y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2P- Major Player Tracking">
    <tabColor rgb="FF92D050"/>
  </sheetPr>
  <dimension ref="A1:AJ220"/>
  <sheetViews>
    <sheetView zoomScale="55" zoomScaleNormal="55" workbookViewId="0">
      <pane xSplit="2" topLeftCell="C1" activePane="topRight" state="frozen"/>
      <selection pane="topRight" activeCell="B2" sqref="B2"/>
    </sheetView>
  </sheetViews>
  <sheetFormatPr defaultRowHeight="13"/>
  <cols>
    <col min="1" max="1" width="43.6328125" bestFit="1" customWidth="1"/>
    <col min="2" max="2" width="37.7265625" customWidth="1"/>
    <col min="3" max="3" width="17.26953125" bestFit="1" customWidth="1"/>
    <col min="4" max="10" width="13.6328125" customWidth="1"/>
    <col min="14" max="21" width="13.6328125" hidden="1"/>
    <col min="24" max="31" width="13.6328125" hidden="1"/>
  </cols>
  <sheetData>
    <row r="1" spans="1:36" ht="17.5">
      <c r="A1" s="11"/>
      <c r="B1" s="12" t="s">
        <v>583</v>
      </c>
      <c r="S1" s="13"/>
      <c r="U1" s="13"/>
    </row>
    <row r="2" spans="1:36">
      <c r="B2" s="4" t="s">
        <v>1</v>
      </c>
      <c r="C2" s="14" t="s">
        <v>2</v>
      </c>
      <c r="D2" s="15" t="s">
        <v>3</v>
      </c>
      <c r="E2" s="16">
        <v>15000</v>
      </c>
      <c r="S2" s="13"/>
      <c r="U2" s="13"/>
    </row>
    <row r="3" spans="1:36">
      <c r="A3" s="25"/>
      <c r="B3" s="26"/>
      <c r="C3" s="25"/>
      <c r="D3" s="25"/>
      <c r="E3" s="25"/>
      <c r="F3" s="25"/>
      <c r="G3" s="25"/>
      <c r="H3" s="26"/>
      <c r="I3" s="26">
        <f>I20*15200</f>
        <v>2604.2666666666664</v>
      </c>
      <c r="J3" s="27"/>
      <c r="K3" s="25"/>
      <c r="L3" s="25"/>
      <c r="M3" s="25"/>
      <c r="N3" s="25"/>
      <c r="O3" s="25"/>
      <c r="P3" s="25"/>
      <c r="Q3" s="25"/>
      <c r="R3" s="25"/>
      <c r="S3" s="28"/>
      <c r="T3" s="25"/>
      <c r="U3" s="28"/>
      <c r="V3" s="25"/>
      <c r="W3" s="29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>
      <c r="B4" s="30" t="s">
        <v>5</v>
      </c>
      <c r="C4" s="31">
        <v>44936</v>
      </c>
      <c r="D4" s="31">
        <v>44972</v>
      </c>
      <c r="E4" s="31">
        <v>45001</v>
      </c>
      <c r="F4" s="31">
        <v>45034</v>
      </c>
      <c r="G4" s="31">
        <v>45069</v>
      </c>
      <c r="H4" s="31">
        <v>45102</v>
      </c>
      <c r="I4" s="32">
        <v>45120</v>
      </c>
      <c r="J4" s="32">
        <v>45176</v>
      </c>
      <c r="K4" s="32">
        <v>45209</v>
      </c>
      <c r="L4" s="32">
        <v>45271</v>
      </c>
      <c r="M4" s="33">
        <v>45293</v>
      </c>
      <c r="N4" s="33" t="s">
        <v>6</v>
      </c>
      <c r="O4" s="33" t="s">
        <v>7</v>
      </c>
      <c r="P4" s="33" t="s">
        <v>8</v>
      </c>
      <c r="Q4" s="33" t="s">
        <v>9</v>
      </c>
      <c r="R4" s="33" t="s">
        <v>10</v>
      </c>
      <c r="S4" s="34" t="s">
        <v>11</v>
      </c>
      <c r="T4" s="33" t="s">
        <v>12</v>
      </c>
      <c r="V4" s="33" t="s">
        <v>13</v>
      </c>
      <c r="W4" s="35" t="s">
        <v>14</v>
      </c>
      <c r="X4" s="35" t="s">
        <v>15</v>
      </c>
      <c r="Y4" s="35" t="s">
        <v>16</v>
      </c>
      <c r="Z4" s="35" t="s">
        <v>17</v>
      </c>
      <c r="AA4" s="35" t="s">
        <v>18</v>
      </c>
      <c r="AB4" s="35" t="s">
        <v>19</v>
      </c>
      <c r="AC4" s="35" t="s">
        <v>20</v>
      </c>
      <c r="AD4" s="35" t="s">
        <v>21</v>
      </c>
      <c r="AE4" s="35" t="s">
        <v>22</v>
      </c>
      <c r="AF4" s="36" t="s">
        <v>23</v>
      </c>
      <c r="AG4" s="35" t="s">
        <v>24</v>
      </c>
      <c r="AH4" s="37" t="s">
        <v>25</v>
      </c>
      <c r="AI4" s="37" t="s">
        <v>26</v>
      </c>
      <c r="AJ4" s="37" t="s">
        <v>27</v>
      </c>
    </row>
    <row r="5" spans="1:36">
      <c r="A5" s="38" t="s">
        <v>28</v>
      </c>
      <c r="B5" s="30" t="s">
        <v>4</v>
      </c>
      <c r="C5" s="41"/>
      <c r="D5" s="42">
        <f>1.51/E2*1000</f>
        <v>0.10066666666666667</v>
      </c>
      <c r="E5" s="42">
        <f>2.55/$E$2*1000</f>
        <v>0.16999999999999998</v>
      </c>
      <c r="F5" s="42">
        <f>3.64/$E$2*1000</f>
        <v>0.24266666666666667</v>
      </c>
      <c r="G5" s="42">
        <f>4.89/$E$2*1000</f>
        <v>0.32599999999999996</v>
      </c>
      <c r="H5" s="42">
        <f>6.1/$E$2*1000</f>
        <v>0.40666666666666668</v>
      </c>
      <c r="I5" s="42">
        <f>6.89/$E$2*1000</f>
        <v>0.45933333333333332</v>
      </c>
      <c r="J5" s="39"/>
      <c r="K5" s="41">
        <f>10.94/$E$2*1000</f>
        <v>0.72933333333333339</v>
      </c>
      <c r="L5" s="43">
        <f>13.36*1000/E2</f>
        <v>0.89066666666666672</v>
      </c>
      <c r="M5" s="44">
        <v>0.94</v>
      </c>
      <c r="N5" s="43">
        <f>3.91*1000/$E$2</f>
        <v>0.26066666666666666</v>
      </c>
      <c r="O5" s="45">
        <v>0.28000000000000003</v>
      </c>
      <c r="P5">
        <v>0.4</v>
      </c>
      <c r="Q5" s="13">
        <f>7.29/16000*1000</f>
        <v>0.455625</v>
      </c>
      <c r="R5" s="4">
        <v>0.65</v>
      </c>
      <c r="S5" s="13"/>
      <c r="T5">
        <v>0.67</v>
      </c>
      <c r="V5" s="13">
        <f>13240/$E$2</f>
        <v>0.88266666666666671</v>
      </c>
      <c r="W5" s="23">
        <f>14420/E2</f>
        <v>0.96133333333333337</v>
      </c>
      <c r="X5" s="23">
        <f>1800/$E$2</f>
        <v>0.12</v>
      </c>
      <c r="Y5" s="23">
        <f>4500/$E$2</f>
        <v>0.3</v>
      </c>
      <c r="Z5" s="23">
        <f>5200/$E$2</f>
        <v>0.34666666666666668</v>
      </c>
      <c r="AA5" s="10">
        <f>6530/$E$2</f>
        <v>0.43533333333333335</v>
      </c>
      <c r="AB5" s="10">
        <f>9430/$E$2</f>
        <v>0.62866666666666671</v>
      </c>
      <c r="AC5" s="10">
        <f>11200/$E$2</f>
        <v>0.7466666666666667</v>
      </c>
      <c r="AD5" s="10">
        <f>12800/$E$2</f>
        <v>0.85333333333333339</v>
      </c>
      <c r="AE5" s="10">
        <f>14180/$E$2</f>
        <v>0.94533333333333336</v>
      </c>
      <c r="AF5" s="10">
        <f>15600/$E$2</f>
        <v>1.04</v>
      </c>
      <c r="AG5" s="10">
        <f>346.98/$E$2</f>
        <v>2.3132E-2</v>
      </c>
      <c r="AH5" s="10">
        <f>2230/$E$2</f>
        <v>0.14866666666666667</v>
      </c>
      <c r="AI5" s="10">
        <f>5600/$E$2</f>
        <v>0.37333333333333335</v>
      </c>
      <c r="AJ5" s="10">
        <f>7120/$E$2</f>
        <v>0.47466666666666668</v>
      </c>
    </row>
    <row r="6" spans="1:36">
      <c r="A6" s="46" t="s">
        <v>29</v>
      </c>
      <c r="B6" s="47" t="s">
        <v>30</v>
      </c>
      <c r="C6" s="41"/>
      <c r="D6" s="41"/>
      <c r="E6" s="41"/>
      <c r="F6" s="41"/>
      <c r="G6" s="41"/>
      <c r="H6" s="42">
        <f>116.33/$E$2*1000</f>
        <v>7.7553333333333327</v>
      </c>
      <c r="I6" s="41"/>
      <c r="J6" s="41"/>
      <c r="K6" s="41"/>
      <c r="L6" s="41"/>
      <c r="M6" s="41"/>
      <c r="N6" s="41"/>
      <c r="O6" s="14"/>
      <c r="Q6" s="13"/>
      <c r="R6">
        <f>42150901076640/15200/1000000000</f>
        <v>2.7730855971473685</v>
      </c>
      <c r="S6" s="13">
        <f>44671760661120/15200/1000000000</f>
        <v>2.9389316224421052</v>
      </c>
      <c r="T6" s="13">
        <f>47825380916100/15000/1000000000</f>
        <v>3.1883587277399998</v>
      </c>
      <c r="V6" s="48">
        <f>58786718992100/1000000000/15000</f>
        <v>3.9191145994733336</v>
      </c>
      <c r="W6" s="23">
        <f>62963180008730/1000000000/E2</f>
        <v>4.1975453339153335</v>
      </c>
      <c r="X6" s="23">
        <f>8520/$E$2</f>
        <v>0.56799999999999995</v>
      </c>
      <c r="Y6" s="23">
        <f>22453/$E$2</f>
        <v>1.4968666666666666</v>
      </c>
      <c r="Z6" s="23">
        <f>28216/$E$2</f>
        <v>1.8810666666666667</v>
      </c>
      <c r="AA6" s="10">
        <f>32867/$E$2</f>
        <v>2.1911333333333332</v>
      </c>
      <c r="AC6" s="10">
        <f>54377/$E$2</f>
        <v>3.6251333333333333</v>
      </c>
      <c r="AD6" s="10">
        <f>62569/$E$2</f>
        <v>4.1712666666666669</v>
      </c>
      <c r="AE6" s="10">
        <f>68144/$E$2</f>
        <v>4.542933333333333</v>
      </c>
      <c r="AF6" s="10">
        <f>77167/$E$2</f>
        <v>5.1444666666666663</v>
      </c>
      <c r="AG6" s="49">
        <f>3147/$E$2</f>
        <v>0.20979999999999999</v>
      </c>
      <c r="AH6" s="50">
        <f>11362/$E$2</f>
        <v>0.75746666666666662</v>
      </c>
      <c r="AI6" s="50">
        <f>31409/$E$2</f>
        <v>2.0939333333333332</v>
      </c>
      <c r="AJ6" s="50">
        <f>35867/$E$2</f>
        <v>2.3911333333333333</v>
      </c>
    </row>
    <row r="7" spans="1:36" ht="14.5">
      <c r="A7" s="5" t="s">
        <v>510</v>
      </c>
      <c r="B7" s="30" t="s">
        <v>31</v>
      </c>
      <c r="C7" s="41"/>
      <c r="D7" s="41">
        <f>0.99/E2*1000</f>
        <v>6.6000000000000003E-2</v>
      </c>
      <c r="E7" s="41">
        <f>1.83/$E$2*1000</f>
        <v>0.12200000000000001</v>
      </c>
      <c r="F7" s="41">
        <f>2.79/$E$2*1000</f>
        <v>0.186</v>
      </c>
      <c r="G7" s="41">
        <f>3.69/$E$2*1000</f>
        <v>0.24600000000000002</v>
      </c>
      <c r="H7" s="41">
        <f>4.69/$E$2*1000</f>
        <v>0.3126666666666667</v>
      </c>
      <c r="I7" s="41">
        <f>5.7/$E$2*1000</f>
        <v>0.38</v>
      </c>
      <c r="J7" s="41">
        <f>6.78*1000/E2</f>
        <v>0.45200000000000001</v>
      </c>
      <c r="K7" s="41">
        <f>8.89/$E$2*1000</f>
        <v>0.59266666666666667</v>
      </c>
      <c r="L7" s="41">
        <f>11.1*1000/$E$2</f>
        <v>0.74</v>
      </c>
      <c r="M7" s="41">
        <f>11.1*1000/$E$2</f>
        <v>0.74</v>
      </c>
      <c r="N7" s="43">
        <f>2.16*1000/$E$2</f>
        <v>0.14399999999999999</v>
      </c>
      <c r="O7" s="4">
        <v>0.21</v>
      </c>
      <c r="P7">
        <v>0.37</v>
      </c>
      <c r="Q7" s="13">
        <f>6.02/16000*1000</f>
        <v>0.37624999999999997</v>
      </c>
      <c r="R7">
        <v>0.57999999999999996</v>
      </c>
      <c r="S7" s="13"/>
      <c r="T7">
        <f>10350/$E$2</f>
        <v>0.69</v>
      </c>
      <c r="U7" s="13"/>
      <c r="V7" s="13">
        <f>13230/$E$2</f>
        <v>0.88200000000000001</v>
      </c>
      <c r="W7" s="23">
        <f>14630/E2</f>
        <v>0.97533333333333339</v>
      </c>
      <c r="X7" s="23">
        <f>1490/$E$2</f>
        <v>9.9333333333333329E-2</v>
      </c>
      <c r="Y7" s="23">
        <f>4390/$E$2</f>
        <v>0.29266666666666669</v>
      </c>
      <c r="Z7" s="23">
        <f>5740/$E$2</f>
        <v>0.38266666666666665</v>
      </c>
      <c r="AA7" s="10">
        <f>7300/$E$2</f>
        <v>0.48666666666666669</v>
      </c>
      <c r="AC7" s="10">
        <f>12830/$E$2</f>
        <v>0.85533333333333328</v>
      </c>
      <c r="AD7" s="10">
        <f>14580/$E$2</f>
        <v>0.97199999999999998</v>
      </c>
      <c r="AE7" s="10">
        <f>16360/$E$2</f>
        <v>1.0906666666666667</v>
      </c>
      <c r="AF7" s="10">
        <f>18020/$E$2</f>
        <v>1.2013333333333334</v>
      </c>
      <c r="AG7" s="51">
        <f>19720/$E$2</f>
        <v>1.3146666666666667</v>
      </c>
      <c r="AH7" s="52">
        <f>1610/$E$2</f>
        <v>0.10733333333333334</v>
      </c>
      <c r="AI7" s="52">
        <f>4960/$E$2</f>
        <v>0.33066666666666666</v>
      </c>
      <c r="AJ7" s="52">
        <f>6670/$E$2</f>
        <v>0.44466666666666665</v>
      </c>
    </row>
    <row r="8" spans="1:36" ht="14.5">
      <c r="A8" s="53" t="s">
        <v>511</v>
      </c>
      <c r="B8" s="30" t="s">
        <v>32</v>
      </c>
      <c r="C8" s="41">
        <f>959.360455/E2</f>
        <v>6.3957363666666669E-2</v>
      </c>
      <c r="D8" s="54">
        <f>14567.10989647/E2</f>
        <v>0.97114065976466668</v>
      </c>
      <c r="E8" s="55">
        <f>1221.16315/$E$2</f>
        <v>8.1410876666666673E-2</v>
      </c>
      <c r="F8" s="55">
        <f>1221.16315/$E$2</f>
        <v>8.1410876666666673E-2</v>
      </c>
      <c r="G8" s="55">
        <f>2515.9419/$E$2</f>
        <v>0.16772946</v>
      </c>
      <c r="H8" s="55">
        <f>3134.7001/$E$2</f>
        <v>0.20898000666666666</v>
      </c>
      <c r="I8" s="55">
        <f>3134.7001/$E$2</f>
        <v>0.20898000666666666</v>
      </c>
      <c r="J8" s="41">
        <f>5.17*1000/E2</f>
        <v>0.34466666666666668</v>
      </c>
      <c r="K8" s="41">
        <f>5.91/$E$2*1000</f>
        <v>0.39400000000000002</v>
      </c>
      <c r="L8" s="43">
        <f>7631/E2</f>
        <v>0.50873333333333337</v>
      </c>
      <c r="M8" s="4" t="s">
        <v>33</v>
      </c>
      <c r="N8" s="4" t="s">
        <v>33</v>
      </c>
      <c r="O8" s="4" t="s">
        <v>33</v>
      </c>
      <c r="Q8" s="13">
        <f>2687202000000/16000/1000000000</f>
        <v>0.16795012500000001</v>
      </c>
      <c r="R8">
        <v>0.25</v>
      </c>
      <c r="S8" s="13"/>
      <c r="T8" s="9">
        <f>4456832000000/$E$2/1000000000</f>
        <v>0.29712213333333332</v>
      </c>
      <c r="U8" s="13"/>
      <c r="V8" s="56">
        <f>5588486000000/1000000000/$E$2</f>
        <v>0.37256573333333332</v>
      </c>
      <c r="W8" s="23">
        <f>6008/E2</f>
        <v>0.40053333333333335</v>
      </c>
      <c r="X8" s="23">
        <f>741/$E$2</f>
        <v>4.9399999999999999E-2</v>
      </c>
      <c r="Y8" s="23">
        <f>1895/$E$2</f>
        <v>0.12633333333333333</v>
      </c>
      <c r="Z8" s="23">
        <f>2408/$E$2</f>
        <v>0.16053333333333333</v>
      </c>
      <c r="AA8" s="10">
        <f>3018/$E$2</f>
        <v>0.20119999999999999</v>
      </c>
      <c r="AC8" s="10">
        <f>4242/$E$2</f>
        <v>0.2828</v>
      </c>
      <c r="AD8" s="10">
        <f>5338/$E$2</f>
        <v>0.35586666666666666</v>
      </c>
      <c r="AE8" s="10">
        <f>5878/$E$2</f>
        <v>0.39186666666666664</v>
      </c>
      <c r="AF8" s="10">
        <f>6393/$E$2</f>
        <v>0.42620000000000002</v>
      </c>
      <c r="AG8" s="10">
        <f>6925/$E$2</f>
        <v>0.46166666666666667</v>
      </c>
      <c r="AH8" s="50">
        <f>657.943/$E$2</f>
        <v>4.3862866666666667E-2</v>
      </c>
      <c r="AI8" s="50">
        <f>1428/$E$2</f>
        <v>9.5200000000000007E-2</v>
      </c>
      <c r="AJ8" s="57">
        <f>1750/$E$2</f>
        <v>0.11666666666666667</v>
      </c>
    </row>
    <row r="9" spans="1:36" ht="14.5">
      <c r="A9" s="53" t="s">
        <v>512</v>
      </c>
      <c r="B9" s="58" t="s">
        <v>513</v>
      </c>
      <c r="C9" s="41">
        <f>5.3/E2*1000</f>
        <v>0.35333333333333333</v>
      </c>
      <c r="D9" s="41">
        <f>6.6/E2*1000</f>
        <v>0.43999999999999995</v>
      </c>
      <c r="E9" s="54">
        <f>1.6/$E$2*1000</f>
        <v>0.10666666666666666</v>
      </c>
      <c r="F9" s="54">
        <f>1.6/$E$2*1000</f>
        <v>0.10666666666666666</v>
      </c>
      <c r="G9" s="54">
        <f>3.5/$E$2*1000</f>
        <v>0.23333333333333334</v>
      </c>
      <c r="H9" s="54">
        <f>4.4/$E$2*1000</f>
        <v>0.29333333333333339</v>
      </c>
      <c r="I9" s="54">
        <f>4.4/$E$2*1000</f>
        <v>0.29333333333333339</v>
      </c>
      <c r="J9" s="41">
        <f>6.1*1000/E2</f>
        <v>0.40666666666666668</v>
      </c>
      <c r="K9" s="41">
        <f>7.7/$E$2*1000</f>
        <v>0.51333333333333331</v>
      </c>
      <c r="L9" s="41">
        <f>8.5*1000/E2</f>
        <v>0.56666666666666665</v>
      </c>
      <c r="M9" s="41">
        <f>9.2*1000/E2</f>
        <v>0.61333333333333329</v>
      </c>
      <c r="N9" s="43">
        <f>1.2*1000/$E$2</f>
        <v>0.08</v>
      </c>
      <c r="O9" s="45">
        <v>0.12</v>
      </c>
      <c r="P9">
        <v>0.21</v>
      </c>
      <c r="Q9" s="13">
        <f>3.3/16000*1000</f>
        <v>0.20624999999999999</v>
      </c>
      <c r="R9">
        <v>0.31</v>
      </c>
      <c r="S9" s="13"/>
      <c r="T9" s="13">
        <f>6500/$E$2</f>
        <v>0.43333333333333335</v>
      </c>
      <c r="U9" s="13"/>
      <c r="V9" s="13">
        <f>6500/$E$2</f>
        <v>0.43333333333333335</v>
      </c>
      <c r="W9" s="23">
        <f>8100/E2</f>
        <v>0.54</v>
      </c>
      <c r="X9" s="59">
        <f>8800/$E$2</f>
        <v>0.58666666666666667</v>
      </c>
      <c r="Y9" s="23">
        <f>1500/$E$2</f>
        <v>0.1</v>
      </c>
      <c r="Z9" s="23">
        <f>2300/$E$2</f>
        <v>0.15333333333333332</v>
      </c>
      <c r="AA9" s="10">
        <f>2300/$E$2</f>
        <v>0.15333333333333332</v>
      </c>
      <c r="AB9" s="10">
        <f>4800/$E$2</f>
        <v>0.32</v>
      </c>
      <c r="AC9" s="10">
        <f>6400/$E$2</f>
        <v>0.42666666666666669</v>
      </c>
      <c r="AD9" s="10">
        <f>7100/$E$2</f>
        <v>0.47333333333333333</v>
      </c>
      <c r="AE9" s="10">
        <f>7900/$E$2</f>
        <v>0.52666666666666662</v>
      </c>
      <c r="AF9" s="10">
        <f>8700/$E$2</f>
        <v>0.57999999999999996</v>
      </c>
      <c r="AG9" s="10">
        <f>9000/$E$2</f>
        <v>0.6</v>
      </c>
      <c r="AH9" s="10">
        <f>9035/$E$2</f>
        <v>0.60233333333333339</v>
      </c>
      <c r="AI9" s="50">
        <f>2500/$E$2</f>
        <v>0.16666666666666666</v>
      </c>
      <c r="AJ9" s="57">
        <f>2500/$E$2</f>
        <v>0.16666666666666666</v>
      </c>
    </row>
    <row r="10" spans="1:36" ht="14.5">
      <c r="A10" s="60" t="s">
        <v>514</v>
      </c>
      <c r="B10" s="30" t="s">
        <v>34</v>
      </c>
      <c r="C10" s="61">
        <f>35.04/E2</f>
        <v>2.336E-3</v>
      </c>
      <c r="D10" s="41">
        <f>1.33/E2*1000</f>
        <v>8.8666666666666671E-2</v>
      </c>
      <c r="E10" s="41">
        <f>2.57/$E$2*1000</f>
        <v>0.17133333333333331</v>
      </c>
      <c r="F10" s="62">
        <f>4/$E$2*1000</f>
        <v>0.26666666666666666</v>
      </c>
      <c r="G10" s="62">
        <f>5.37/$E$2*1000</f>
        <v>0.35800000000000004</v>
      </c>
      <c r="H10" s="62">
        <f>6.85/$E$2*1000</f>
        <v>0.45666666666666661</v>
      </c>
      <c r="I10" s="62">
        <f>8.31/$E$2*1000</f>
        <v>0.55400000000000005</v>
      </c>
      <c r="J10" s="41">
        <f>11.59*1000/E2</f>
        <v>0.77266666666666661</v>
      </c>
      <c r="K10" s="41">
        <f>13.4/$E$2*1000</f>
        <v>0.89333333333333331</v>
      </c>
      <c r="L10" s="41">
        <f>17.23*1000/E2</f>
        <v>1.1486666666666667</v>
      </c>
      <c r="M10" s="45" t="s">
        <v>35</v>
      </c>
      <c r="N10" s="43">
        <f>5.87*1000/$E$2</f>
        <v>0.39133333333333331</v>
      </c>
      <c r="O10" s="45">
        <v>0.36</v>
      </c>
      <c r="P10">
        <v>0.63</v>
      </c>
      <c r="Q10" s="13">
        <f>12/16000*1000</f>
        <v>0.75</v>
      </c>
      <c r="R10">
        <v>1.05</v>
      </c>
      <c r="S10" s="13"/>
      <c r="T10" s="13">
        <f>18110/$E$2</f>
        <v>1.2073333333333334</v>
      </c>
      <c r="U10" s="13"/>
      <c r="V10" s="10" t="e">
        <f t="array" ref="V10">21650/25:25</f>
        <v>#DIV/0!</v>
      </c>
      <c r="W10" s="23">
        <v>1.44333333333333</v>
      </c>
      <c r="X10" s="23">
        <v>0.13266666666666699</v>
      </c>
      <c r="Y10" s="23">
        <v>0.37533333333333302</v>
      </c>
      <c r="Z10" s="23">
        <v>0.49933333333333302</v>
      </c>
      <c r="AA10" s="10">
        <v>0.63866666666666705</v>
      </c>
      <c r="AB10" s="10">
        <v>0.94199999999999995</v>
      </c>
      <c r="AC10" s="10">
        <v>1.10266666666667</v>
      </c>
      <c r="AD10" s="10">
        <v>1.2553333333333301</v>
      </c>
      <c r="AE10" s="10">
        <v>1.40933333333333</v>
      </c>
      <c r="AF10" s="10">
        <v>1.536</v>
      </c>
      <c r="AG10" s="63">
        <v>3.8040000000000001E-3</v>
      </c>
      <c r="AH10" s="50">
        <v>0.12666666666666701</v>
      </c>
      <c r="AI10" s="50">
        <v>0.349333333333333</v>
      </c>
      <c r="AJ10" s="50">
        <v>0.46333333333333299</v>
      </c>
    </row>
    <row r="11" spans="1:36" ht="14.5" hidden="1">
      <c r="A11" s="53" t="s">
        <v>515</v>
      </c>
      <c r="B11" s="64" t="s">
        <v>36</v>
      </c>
      <c r="C11" s="41"/>
      <c r="D11" s="41"/>
      <c r="E11" s="41"/>
      <c r="F11" s="41">
        <f>1590/$E$2</f>
        <v>0.106</v>
      </c>
      <c r="G11" s="41">
        <f>1800/$E$2</f>
        <v>0.12</v>
      </c>
      <c r="H11" s="41">
        <f>1960/$E$2</f>
        <v>0.13066666666666665</v>
      </c>
      <c r="I11" s="41">
        <f>1960/$E$2</f>
        <v>0.13066666666666665</v>
      </c>
      <c r="J11" s="41">
        <f>1.96*1000/E2</f>
        <v>0.13066666666666665</v>
      </c>
      <c r="K11" s="41">
        <f>2.04/$E$2*1000</f>
        <v>0.13600000000000001</v>
      </c>
      <c r="L11" s="41">
        <f>2.97*1000/E2</f>
        <v>0.19800000000000001</v>
      </c>
      <c r="M11" s="41">
        <f>2.97*1000/E2</f>
        <v>0.19800000000000001</v>
      </c>
      <c r="N11" s="41">
        <f>1.06*1000/$E$2</f>
        <v>7.0666666666666669E-2</v>
      </c>
      <c r="O11" s="45">
        <v>7.0000000000000007E-2</v>
      </c>
      <c r="P11">
        <v>0.09</v>
      </c>
      <c r="Q11" s="13">
        <f>1.54/16000*1000</f>
        <v>9.6250000000000002E-2</v>
      </c>
      <c r="R11">
        <v>0.12</v>
      </c>
      <c r="S11" s="13"/>
      <c r="U11" s="13"/>
      <c r="V11" s="10"/>
      <c r="X11" s="23"/>
      <c r="Y11" s="23"/>
      <c r="Z11" s="23"/>
      <c r="AA11" s="10"/>
      <c r="AC11" s="10"/>
    </row>
    <row r="12" spans="1:36" ht="14.5">
      <c r="A12" s="53" t="s">
        <v>516</v>
      </c>
      <c r="B12" s="30" t="s">
        <v>37</v>
      </c>
      <c r="C12" s="41"/>
      <c r="D12" s="41"/>
      <c r="E12" s="41"/>
      <c r="F12" s="62">
        <f>4230/$E$2</f>
        <v>0.28199999999999997</v>
      </c>
      <c r="G12" s="62">
        <f>1.64/$E$2*1000</f>
        <v>0.10933333333333332</v>
      </c>
      <c r="H12" s="62">
        <f>1.64/$E$2*1000</f>
        <v>0.10933333333333332</v>
      </c>
      <c r="I12" s="62">
        <f>1.64/$E$2*1000</f>
        <v>0.10933333333333332</v>
      </c>
      <c r="J12" s="41">
        <f>3.11*1000/E2</f>
        <v>0.20733333333333334</v>
      </c>
      <c r="K12" s="41">
        <f>3.11/$E$2*1000</f>
        <v>0.20733333333333331</v>
      </c>
      <c r="L12" s="41">
        <f>6.22*1000/E2</f>
        <v>0.41466666666666668</v>
      </c>
      <c r="M12" s="65" t="s">
        <v>38</v>
      </c>
      <c r="N12" s="66" t="s">
        <v>39</v>
      </c>
      <c r="O12" s="45">
        <v>0.18</v>
      </c>
      <c r="P12">
        <v>0.26</v>
      </c>
      <c r="Q12" s="13">
        <f>4.46/16000*1000</f>
        <v>0.27875</v>
      </c>
      <c r="R12">
        <v>0.39</v>
      </c>
      <c r="S12" s="13"/>
      <c r="T12" s="13">
        <f>6810/$E$2</f>
        <v>0.45400000000000001</v>
      </c>
      <c r="U12" s="13"/>
      <c r="V12" s="10">
        <f>7980/$E$2</f>
        <v>0.53200000000000003</v>
      </c>
      <c r="W12" s="23">
        <f>8410/E2</f>
        <v>0.56066666666666665</v>
      </c>
      <c r="X12" s="23">
        <f>726/$E$2</f>
        <v>4.8399999999999999E-2</v>
      </c>
      <c r="Y12" s="23">
        <f>1380/$E$2</f>
        <v>9.1999999999999998E-2</v>
      </c>
      <c r="Z12" s="23">
        <f>2350/$E$2</f>
        <v>0.15666666666666668</v>
      </c>
      <c r="AA12" s="10">
        <f>2350/$E$2</f>
        <v>0.15666666666666668</v>
      </c>
      <c r="AC12" s="10">
        <f>3730/$E$2</f>
        <v>0.24866666666666667</v>
      </c>
      <c r="AD12" s="57">
        <f>4100/$E$2</f>
        <v>0.27333333333333332</v>
      </c>
      <c r="AE12" t="s">
        <v>40</v>
      </c>
      <c r="AF12" t="s">
        <v>40</v>
      </c>
      <c r="AG12" s="57">
        <f>4100/$E$2</f>
        <v>0.27333333333333332</v>
      </c>
      <c r="AH12" s="57">
        <f>4100/$E$2</f>
        <v>0.27333333333333332</v>
      </c>
      <c r="AI12" s="57">
        <f>4744/$E$2</f>
        <v>0.31626666666666664</v>
      </c>
      <c r="AJ12" s="50">
        <f>558.3/$E$2</f>
        <v>3.7219999999999996E-2</v>
      </c>
    </row>
    <row r="13" spans="1:36" ht="14.5">
      <c r="A13" s="53" t="s">
        <v>517</v>
      </c>
      <c r="B13" s="30" t="s">
        <v>41</v>
      </c>
      <c r="C13" s="41"/>
      <c r="D13" s="41"/>
      <c r="E13" s="41"/>
      <c r="F13" s="41">
        <f>1338.5/$E$2</f>
        <v>8.9233333333333331E-2</v>
      </c>
      <c r="G13" s="41">
        <f>1338.571879341/$E$2</f>
        <v>8.9238125289400005E-2</v>
      </c>
      <c r="H13" s="41">
        <f>156.110551293/$E$2</f>
        <v>1.0407370086199999E-2</v>
      </c>
      <c r="I13" s="41">
        <f>156.110551293/$E$2</f>
        <v>1.0407370086199999E-2</v>
      </c>
      <c r="J13" s="41">
        <f>0.5368*1000/E2</f>
        <v>3.5786666666666668E-2</v>
      </c>
      <c r="K13" s="4"/>
      <c r="L13" s="43">
        <f>704305842914/1000000000/E2</f>
        <v>4.6953722860933335E-2</v>
      </c>
      <c r="M13" s="67">
        <f>769240710525/1000000000/E2</f>
        <v>5.1282714035000003E-2</v>
      </c>
      <c r="N13" s="43">
        <f>0.08292*1000/$E$2</f>
        <v>5.5279999999999991E-3</v>
      </c>
      <c r="O13" s="4">
        <v>0.01</v>
      </c>
      <c r="P13" s="14">
        <v>0.01</v>
      </c>
      <c r="Q13" s="13">
        <f>165888395146/16000/1000000000</f>
        <v>1.0368024696625001E-2</v>
      </c>
      <c r="R13">
        <v>0.01</v>
      </c>
      <c r="S13" s="13"/>
      <c r="T13" s="9">
        <f>270313799056/$E$2/1000000000</f>
        <v>1.8020919937066667E-2</v>
      </c>
      <c r="U13" s="13"/>
      <c r="V13" s="68">
        <f>321489458177/1000000000/$E$2</f>
        <v>2.1432630545133335E-2</v>
      </c>
      <c r="W13" s="23">
        <f>350304333998/1000000000/E2</f>
        <v>2.3353622266533335E-2</v>
      </c>
      <c r="X13" s="23">
        <f>37/$E$2</f>
        <v>2.4666666666666665E-3</v>
      </c>
      <c r="Y13" s="23">
        <f>37/$E$2</f>
        <v>2.4666666666666665E-3</v>
      </c>
      <c r="Z13" s="23">
        <f>37/$E$2</f>
        <v>2.4666666666666665E-3</v>
      </c>
      <c r="AA13" s="10">
        <f>37/$E$2</f>
        <v>2.4666666666666665E-3</v>
      </c>
      <c r="AC13" s="10">
        <f>244360483206/$E$2/1000000000</f>
        <v>1.6290698880399999E-2</v>
      </c>
      <c r="AD13" s="50">
        <f>244360483206/$E$2/1000000000</f>
        <v>1.6290698880399999E-2</v>
      </c>
      <c r="AE13" t="s">
        <v>40</v>
      </c>
      <c r="AF13" t="s">
        <v>40</v>
      </c>
      <c r="AG13" t="s">
        <v>40</v>
      </c>
      <c r="AH13" t="s">
        <v>42</v>
      </c>
      <c r="AI13" t="s">
        <v>43</v>
      </c>
    </row>
    <row r="14" spans="1:36" ht="14.5">
      <c r="A14" s="53" t="s">
        <v>518</v>
      </c>
      <c r="B14" s="30" t="s">
        <v>44</v>
      </c>
      <c r="C14" s="41"/>
      <c r="D14" s="41"/>
      <c r="E14" s="41"/>
      <c r="F14" s="41">
        <f>1000/$E$2</f>
        <v>6.6666666666666666E-2</v>
      </c>
      <c r="G14" s="41">
        <f>8/$E$2*1000</f>
        <v>0.53333333333333333</v>
      </c>
      <c r="H14" s="41">
        <f>8/$E$2*1000</f>
        <v>0.53333333333333333</v>
      </c>
      <c r="I14" s="41">
        <f>8/$E$2*1000</f>
        <v>0.53333333333333333</v>
      </c>
      <c r="J14" s="62">
        <f>4*1000/E2</f>
        <v>0.26666666666666666</v>
      </c>
      <c r="K14" s="4"/>
      <c r="L14" s="43">
        <f>8*1000/E2</f>
        <v>0.53333333333333333</v>
      </c>
      <c r="M14" s="67">
        <f>8.9*1000/E2</f>
        <v>0.59333333333333338</v>
      </c>
      <c r="N14" s="43">
        <f>1.9*1000/$E$2</f>
        <v>0.12666666666666668</v>
      </c>
      <c r="O14" s="4">
        <v>0.12</v>
      </c>
      <c r="P14" s="69">
        <v>0.24</v>
      </c>
      <c r="Q14" s="13">
        <f>3.9/16000*1000</f>
        <v>0.24374999999999999</v>
      </c>
      <c r="R14">
        <v>0.25</v>
      </c>
      <c r="S14" s="13"/>
      <c r="T14" s="13">
        <f>8365339538856/$E$2/1000000000</f>
        <v>0.55768930259039995</v>
      </c>
      <c r="U14" s="13"/>
      <c r="V14" s="10">
        <f>8949.44/$E$2</f>
        <v>0.59662933333333334</v>
      </c>
      <c r="W14" s="23">
        <f>8949/E2</f>
        <v>0.59660000000000002</v>
      </c>
      <c r="X14" s="59">
        <f>8949/$E$2</f>
        <v>0.59660000000000002</v>
      </c>
      <c r="Y14" s="59">
        <f>8949/$E$2</f>
        <v>0.59660000000000002</v>
      </c>
      <c r="Z14" s="59"/>
      <c r="AA14" s="59"/>
      <c r="AC14" s="70" t="str">
        <f>TEXT(777095276763/$E$2/1000000000,"0.00")&amp;"(7月)"</f>
        <v>0.05(7月)</v>
      </c>
      <c r="AD14" s="10">
        <f>827485776763/$E$2/1000000000</f>
        <v>5.5165718450866673E-2</v>
      </c>
      <c r="AE14" s="10">
        <f>835712176763/$E$2/1000000000</f>
        <v>5.5714145117533337E-2</v>
      </c>
      <c r="AF14" t="s">
        <v>40</v>
      </c>
      <c r="AG14" t="s">
        <v>45</v>
      </c>
      <c r="AH14" t="s">
        <v>45</v>
      </c>
      <c r="AI14" t="s">
        <v>45</v>
      </c>
      <c r="AJ14" t="s">
        <v>45</v>
      </c>
    </row>
    <row r="15" spans="1:36" ht="14.5" hidden="1">
      <c r="A15" s="71" t="s">
        <v>519</v>
      </c>
      <c r="B15" s="47" t="s">
        <v>46</v>
      </c>
      <c r="C15" s="41"/>
      <c r="D15" s="41"/>
      <c r="E15" s="41"/>
      <c r="F15" s="41">
        <f>510.47/$E$2</f>
        <v>3.4031333333333337E-2</v>
      </c>
      <c r="G15" s="41">
        <f>754.96/$E$2</f>
        <v>5.0330666666666669E-2</v>
      </c>
      <c r="H15" s="41">
        <f>878.53/$E$2</f>
        <v>5.8568666666666665E-2</v>
      </c>
      <c r="I15" s="41">
        <f>925.44/$E$2</f>
        <v>6.1696000000000001E-2</v>
      </c>
      <c r="J15" s="41">
        <f>1.12*1000/E2</f>
        <v>7.4666666666666673E-2</v>
      </c>
      <c r="K15" s="4"/>
      <c r="L15" s="43">
        <f>1670/E2</f>
        <v>0.11133333333333334</v>
      </c>
      <c r="M15" s="67">
        <f>1.76*1000/E2</f>
        <v>0.11733333333333333</v>
      </c>
      <c r="N15" s="43">
        <f>0.402*1000/$E$2</f>
        <v>2.6800000000000001E-2</v>
      </c>
      <c r="O15" s="4">
        <v>1E-3</v>
      </c>
      <c r="P15" s="14">
        <v>1E-3</v>
      </c>
      <c r="Q15" s="72">
        <f>25.59/16000</f>
        <v>1.5993749999999999E-3</v>
      </c>
      <c r="S15" s="13"/>
      <c r="U15" s="13"/>
      <c r="V15" s="10"/>
      <c r="X15" s="23"/>
      <c r="Y15" s="23"/>
      <c r="Z15" s="23"/>
    </row>
    <row r="16" spans="1:36" ht="14.5">
      <c r="A16" s="5" t="s">
        <v>520</v>
      </c>
      <c r="B16" s="30" t="s">
        <v>47</v>
      </c>
      <c r="C16" s="41"/>
      <c r="D16" s="41"/>
      <c r="E16" s="41"/>
      <c r="F16" s="41">
        <f>290.66/$E$2</f>
        <v>1.9377333333333337E-2</v>
      </c>
      <c r="G16" s="41">
        <f>340.41/$E$2</f>
        <v>2.2694000000000002E-2</v>
      </c>
      <c r="H16" s="73">
        <f>340.41/$E$2</f>
        <v>2.2694000000000002E-2</v>
      </c>
      <c r="I16" s="74">
        <f>434.28/$E$2</f>
        <v>2.8951999999999999E-2</v>
      </c>
      <c r="J16" s="41">
        <f>0.577*1000/E2</f>
        <v>3.846666666666667E-2</v>
      </c>
      <c r="K16" s="4"/>
      <c r="L16" s="75"/>
      <c r="M16" s="4"/>
      <c r="N16" s="43">
        <f>0.19181*1000/$E$2</f>
        <v>1.2787333333333333E-2</v>
      </c>
      <c r="O16" s="76">
        <f>0.19181*1000/$E$2</f>
        <v>1.2787333333333333E-2</v>
      </c>
      <c r="P16" s="77"/>
      <c r="Q16" s="13"/>
      <c r="R16">
        <v>0.5</v>
      </c>
      <c r="S16" s="13"/>
      <c r="T16" s="13">
        <f>(63960-55330)/$E$2</f>
        <v>0.57533333333333336</v>
      </c>
      <c r="U16" s="13"/>
      <c r="V16" s="10">
        <f>(65560-55330)/$E$2</f>
        <v>0.68200000000000005</v>
      </c>
      <c r="W16" s="10">
        <f>(65560-55330)/15000</f>
        <v>0.68200000000000005</v>
      </c>
      <c r="X16" s="78">
        <f>(68680-67530)/$E$2</f>
        <v>7.6666666666666661E-2</v>
      </c>
      <c r="Y16" s="23">
        <f>(70810-67530)/$E$2</f>
        <v>0.21866666666666668</v>
      </c>
      <c r="Z16" s="23">
        <f>(71030-67530)/$E$2</f>
        <v>0.23333333333333334</v>
      </c>
      <c r="AA16" s="23">
        <f>(72250-67530)/$E$2</f>
        <v>0.31466666666666665</v>
      </c>
      <c r="AC16" s="23">
        <f>(74860-67530)/$E$2</f>
        <v>0.48866666666666669</v>
      </c>
      <c r="AD16" s="23">
        <f>(76240-67530)/$E$2</f>
        <v>0.58066666666666666</v>
      </c>
      <c r="AE16" s="23">
        <f>(76870-67530)/$E$2</f>
        <v>0.6226666666666667</v>
      </c>
      <c r="AF16" s="23">
        <f>(77820-67530)/$E$2</f>
        <v>0.68600000000000005</v>
      </c>
      <c r="AG16" s="79" t="s">
        <v>48</v>
      </c>
      <c r="AH16" s="79">
        <f>6282/$E$2</f>
        <v>0.41880000000000001</v>
      </c>
      <c r="AI16" s="80">
        <f>160/$E$2</f>
        <v>1.0666666666666666E-2</v>
      </c>
      <c r="AJ16" s="80">
        <f>197.89/$E$2</f>
        <v>1.3192666666666665E-2</v>
      </c>
    </row>
    <row r="17" spans="1:36">
      <c r="A17" s="5" t="s">
        <v>521</v>
      </c>
      <c r="B17" s="30" t="s">
        <v>49</v>
      </c>
      <c r="C17" s="41"/>
      <c r="D17" s="41"/>
      <c r="E17" s="41"/>
      <c r="F17" s="41"/>
      <c r="G17" s="41"/>
      <c r="H17" s="73"/>
      <c r="I17" s="74"/>
      <c r="J17" s="41"/>
      <c r="K17" s="4"/>
      <c r="L17" s="75"/>
      <c r="M17" s="4"/>
      <c r="N17" s="43"/>
      <c r="O17" s="76"/>
      <c r="P17" s="77"/>
      <c r="Q17" s="13"/>
      <c r="S17" s="13"/>
      <c r="T17" s="13"/>
      <c r="U17" s="13"/>
      <c r="V17" s="10"/>
      <c r="W17" s="10"/>
      <c r="X17" s="78"/>
      <c r="Y17" s="23"/>
      <c r="Z17" s="23"/>
      <c r="AA17" s="23"/>
      <c r="AC17" s="23"/>
      <c r="AD17" s="23"/>
      <c r="AE17" s="23"/>
      <c r="AF17" s="23"/>
      <c r="AG17" s="81"/>
      <c r="AH17" s="82">
        <f>1016/$E$2</f>
        <v>6.773333333333334E-2</v>
      </c>
      <c r="AI17" s="82">
        <f>2860/$E$2</f>
        <v>0.19066666666666668</v>
      </c>
      <c r="AJ17" s="82">
        <f>2860/$E$2</f>
        <v>0.19066666666666668</v>
      </c>
    </row>
    <row r="18" spans="1:36">
      <c r="B18" s="83" t="s">
        <v>50</v>
      </c>
      <c r="C18" s="31">
        <v>44936</v>
      </c>
      <c r="D18" s="31">
        <v>44972</v>
      </c>
      <c r="E18" s="31">
        <v>45001</v>
      </c>
      <c r="F18" s="31">
        <v>45034</v>
      </c>
      <c r="G18" s="84">
        <v>45069</v>
      </c>
      <c r="H18" s="31">
        <v>45102</v>
      </c>
      <c r="I18" s="31">
        <v>45120</v>
      </c>
      <c r="J18" s="85">
        <v>45176</v>
      </c>
      <c r="K18" s="32">
        <v>45209</v>
      </c>
      <c r="L18" s="32">
        <v>45271</v>
      </c>
      <c r="M18" s="33">
        <v>45293</v>
      </c>
      <c r="N18" s="33" t="s">
        <v>6</v>
      </c>
      <c r="O18" s="33" t="s">
        <v>7</v>
      </c>
      <c r="P18" s="33" t="s">
        <v>8</v>
      </c>
      <c r="Q18" s="33" t="s">
        <v>9</v>
      </c>
      <c r="R18" s="33" t="s">
        <v>10</v>
      </c>
      <c r="S18" s="34" t="s">
        <v>11</v>
      </c>
      <c r="T18" s="33" t="s">
        <v>12</v>
      </c>
      <c r="V18" s="33" t="s">
        <v>13</v>
      </c>
      <c r="W18" s="35" t="s">
        <v>14</v>
      </c>
      <c r="X18" s="35" t="s">
        <v>15</v>
      </c>
      <c r="Y18" s="35" t="s">
        <v>16</v>
      </c>
      <c r="Z18" s="35" t="s">
        <v>17</v>
      </c>
      <c r="AA18" s="35" t="s">
        <v>18</v>
      </c>
      <c r="AB18" s="35" t="s">
        <v>19</v>
      </c>
      <c r="AC18" s="35" t="s">
        <v>20</v>
      </c>
      <c r="AD18" s="35" t="s">
        <v>21</v>
      </c>
      <c r="AE18" s="35" t="s">
        <v>22</v>
      </c>
      <c r="AF18" s="36" t="s">
        <v>23</v>
      </c>
      <c r="AG18" s="35" t="s">
        <v>24</v>
      </c>
      <c r="AH18" s="37" t="s">
        <v>25</v>
      </c>
      <c r="AI18" s="37" t="s">
        <v>26</v>
      </c>
      <c r="AJ18" s="37" t="s">
        <v>27</v>
      </c>
    </row>
    <row r="19" spans="1:36">
      <c r="B19" s="86" t="s">
        <v>51</v>
      </c>
      <c r="C19" s="89"/>
      <c r="D19" s="89"/>
      <c r="E19" s="89"/>
      <c r="F19" s="89"/>
      <c r="G19" s="89"/>
      <c r="H19" s="89"/>
      <c r="I19" s="89"/>
      <c r="J19" s="88">
        <f>55697/15000</f>
        <v>3.7131333333333334</v>
      </c>
      <c r="K19" s="88"/>
      <c r="L19" s="90">
        <f>59644/15000</f>
        <v>3.9762666666666666</v>
      </c>
      <c r="M19" s="90"/>
      <c r="N19" s="88"/>
      <c r="O19" s="91"/>
      <c r="P19" s="2"/>
      <c r="Q19" s="92"/>
      <c r="R19" s="90">
        <f>74480/15000</f>
        <v>4.9653333333333336</v>
      </c>
      <c r="S19" s="2"/>
      <c r="T19" s="2"/>
      <c r="U19" s="2"/>
      <c r="V19" s="92"/>
      <c r="W19" s="93"/>
      <c r="X19" s="2"/>
      <c r="Y19" s="2"/>
      <c r="Z19" s="2"/>
      <c r="AA19" s="2"/>
      <c r="AB19" s="2"/>
      <c r="AC19" s="2"/>
      <c r="AD19" s="2"/>
      <c r="AE19" s="2"/>
      <c r="AF19" s="2"/>
      <c r="AG19" s="94"/>
      <c r="AH19" s="2"/>
      <c r="AI19" s="2"/>
      <c r="AJ19" s="2"/>
    </row>
    <row r="20" spans="1:36">
      <c r="B20" s="30" t="s">
        <v>582</v>
      </c>
      <c r="C20" s="95">
        <f>1.96/E2*1000</f>
        <v>0.13066666666666665</v>
      </c>
      <c r="D20" s="95">
        <f>2.15/E2*1000</f>
        <v>0.14333333333333334</v>
      </c>
      <c r="E20" s="95">
        <f>2.24/$E$2*1000</f>
        <v>0.14933333333333335</v>
      </c>
      <c r="F20" s="95">
        <f>2.28/$E$2*1000</f>
        <v>0.15199999999999997</v>
      </c>
      <c r="G20" s="95">
        <f>2.45/$E$2*1000</f>
        <v>0.16333333333333333</v>
      </c>
      <c r="H20" s="95">
        <f>2.5/$E$2*1000</f>
        <v>0.16666666666666666</v>
      </c>
      <c r="I20" s="95">
        <f>2.57/$E$2*1000</f>
        <v>0.17133333333333331</v>
      </c>
      <c r="J20" s="88">
        <v>0.2</v>
      </c>
      <c r="K20" s="96">
        <f>2.9/$E$2*1000</f>
        <v>0.19333333333333333</v>
      </c>
      <c r="L20" s="90">
        <f>2.99*1000/E2</f>
        <v>0.19933333333333333</v>
      </c>
      <c r="M20" s="97">
        <f>2.93*1000/E2</f>
        <v>0.19533333333333333</v>
      </c>
      <c r="N20" s="98">
        <f>2.75*1000/$E$2</f>
        <v>0.18333333333333332</v>
      </c>
      <c r="O20" s="99">
        <v>0.17</v>
      </c>
      <c r="P20" s="2">
        <v>0.17</v>
      </c>
      <c r="Q20" s="92">
        <f>2.78/16000*1000</f>
        <v>0.17374999999999999</v>
      </c>
      <c r="R20" s="99">
        <v>0.19</v>
      </c>
      <c r="S20" s="92"/>
      <c r="T20" s="2">
        <v>0.19</v>
      </c>
      <c r="U20" s="2"/>
      <c r="V20" s="92">
        <f>3100/$E$2</f>
        <v>0.20666666666666667</v>
      </c>
      <c r="W20" s="92">
        <f>3100/15000</f>
        <v>0.20666666666666667</v>
      </c>
      <c r="X20" s="92">
        <f>3110/$E$2</f>
        <v>0.20733333333333334</v>
      </c>
      <c r="Y20" s="93">
        <f>3100/$E$2</f>
        <v>0.20666666666666667</v>
      </c>
      <c r="Z20" s="93">
        <f>3090/$E$2</f>
        <v>0.20599999999999999</v>
      </c>
      <c r="AA20" s="94">
        <f>3110/$E$2</f>
        <v>0.20733333333333334</v>
      </c>
      <c r="AB20" s="94">
        <f>3260/$E$2</f>
        <v>0.21733333333333332</v>
      </c>
      <c r="AC20" s="94">
        <f>3420/$E$2</f>
        <v>0.22800000000000001</v>
      </c>
      <c r="AD20" s="94">
        <f>3510/$E$2</f>
        <v>0.23400000000000001</v>
      </c>
      <c r="AE20" s="94">
        <f>3580/$E$2</f>
        <v>0.23866666666666667</v>
      </c>
      <c r="AF20" s="94">
        <f>3650/$E$2</f>
        <v>0.24333333333333335</v>
      </c>
      <c r="AG20" s="94">
        <f>3750/$E$2</f>
        <v>0.25</v>
      </c>
      <c r="AH20" s="94">
        <f>3920/$E$2</f>
        <v>0.26133333333333331</v>
      </c>
      <c r="AI20" s="94">
        <f>4020/$E$2</f>
        <v>0.26800000000000002</v>
      </c>
      <c r="AJ20" s="94">
        <f>4050/$E$2</f>
        <v>0.27</v>
      </c>
    </row>
    <row r="21" spans="1:36">
      <c r="B21" s="100" t="s">
        <v>30</v>
      </c>
      <c r="C21" s="88"/>
      <c r="D21" s="88"/>
      <c r="E21" s="88"/>
      <c r="F21" s="88"/>
      <c r="G21" s="88"/>
      <c r="H21" s="88"/>
      <c r="I21" s="88"/>
      <c r="J21" s="89">
        <f>4.43/$E$2*1000</f>
        <v>0.29533333333333334</v>
      </c>
      <c r="K21" s="88"/>
      <c r="L21" s="90"/>
      <c r="M21" s="90"/>
      <c r="N21" s="88"/>
      <c r="O21" s="2"/>
      <c r="P21" s="2"/>
      <c r="Q21" s="92"/>
      <c r="R21" s="2"/>
      <c r="S21" s="92">
        <f>4609801545210/15200/1000000000</f>
        <v>0.3032764174480263</v>
      </c>
      <c r="T21" s="102">
        <f>5923358652882/15000/1000000000</f>
        <v>0.39489057685879997</v>
      </c>
      <c r="U21" s="92">
        <f>1613935669904/15000/1000000000</f>
        <v>0.10759571132693334</v>
      </c>
      <c r="V21" s="103">
        <f>230554456505/1000000000/$E$2</f>
        <v>1.5370297100333333E-2</v>
      </c>
      <c r="W21" s="93">
        <f>4407015473134/1000000000/E2</f>
        <v>0.29380103154226667</v>
      </c>
      <c r="X21" s="104">
        <f>2113.5/$E$2</f>
        <v>0.1409</v>
      </c>
      <c r="Y21" s="105">
        <f>3805/$E$2</f>
        <v>0.25366666666666665</v>
      </c>
      <c r="Z21" s="93">
        <f>3810/$E$2</f>
        <v>0.254</v>
      </c>
      <c r="AA21" s="94">
        <f>1878/$E$2</f>
        <v>0.12520000000000001</v>
      </c>
      <c r="AB21" s="2"/>
      <c r="AC21" s="94">
        <f>3590/$E$2</f>
        <v>0.23933333333333334</v>
      </c>
      <c r="AD21" s="94">
        <f>4566/$E$2</f>
        <v>0.3044</v>
      </c>
      <c r="AE21" s="94">
        <f>2490/$E$2</f>
        <v>0.16600000000000001</v>
      </c>
      <c r="AF21" s="94">
        <f>3876/$E$2</f>
        <v>0.25840000000000002</v>
      </c>
      <c r="AG21" s="106">
        <f>3147/$E$2</f>
        <v>0.20979999999999999</v>
      </c>
      <c r="AH21" s="107">
        <f>2870/$E$2</f>
        <v>0.19133333333333333</v>
      </c>
      <c r="AI21" s="107">
        <f>2132/$E$2</f>
        <v>0.14213333333333333</v>
      </c>
      <c r="AJ21" s="107">
        <f>3152/$E$2</f>
        <v>0.21013333333333334</v>
      </c>
    </row>
    <row r="22" spans="1:36">
      <c r="B22" s="30" t="s">
        <v>31</v>
      </c>
      <c r="C22" s="88">
        <f>2.57/E2*1000</f>
        <v>0.17133333333333331</v>
      </c>
      <c r="D22" s="88">
        <f>2.64/E2*1000</f>
        <v>0.17599999999999999</v>
      </c>
      <c r="E22" s="88">
        <f>2.63/$E$2*1000</f>
        <v>0.17533333333333334</v>
      </c>
      <c r="F22" s="88">
        <f>2.62/$E$2*1000</f>
        <v>0.17466666666666666</v>
      </c>
      <c r="G22" s="88">
        <f>2.59/$E$2*1000</f>
        <v>0.17266666666666663</v>
      </c>
      <c r="H22" s="88">
        <f>2.62/$E$2*1000</f>
        <v>0.17466666666666666</v>
      </c>
      <c r="I22" s="88">
        <f>2.69/$E$2*1000</f>
        <v>0.17933333333333332</v>
      </c>
      <c r="J22" s="88">
        <v>0.2</v>
      </c>
      <c r="K22" s="96">
        <f>2.88/$E$2*1000</f>
        <v>0.192</v>
      </c>
      <c r="L22" s="90">
        <f>3.01*1000/E2</f>
        <v>0.20066666666666666</v>
      </c>
      <c r="M22" s="97">
        <f>3.01*1000/E2</f>
        <v>0.20066666666666666</v>
      </c>
      <c r="N22" s="98">
        <f>3.15*1000/$E$2</f>
        <v>0.21</v>
      </c>
      <c r="O22" s="2">
        <v>0.2</v>
      </c>
      <c r="P22" s="2">
        <v>0.22</v>
      </c>
      <c r="Q22" s="92">
        <f>3.59/16000*1000</f>
        <v>0.22437499999999999</v>
      </c>
      <c r="R22" s="2">
        <v>0.26</v>
      </c>
      <c r="S22" s="92"/>
      <c r="T22" s="92">
        <f>4180/$E$2</f>
        <v>0.27866666666666667</v>
      </c>
      <c r="U22" s="92"/>
      <c r="V22" s="92">
        <f>4500/$E$2</f>
        <v>0.3</v>
      </c>
      <c r="W22" s="93">
        <f>4640/E2</f>
        <v>0.30933333333333335</v>
      </c>
      <c r="X22" s="92">
        <f>5080/$E$2</f>
        <v>0.33866666666666667</v>
      </c>
      <c r="Y22" s="93">
        <f>5350/$E$2</f>
        <v>0.35666666666666669</v>
      </c>
      <c r="Z22" s="93">
        <f>5440/$E$2</f>
        <v>0.36266666666666669</v>
      </c>
      <c r="AA22" s="94">
        <f>5600/$E$2</f>
        <v>0.37333333333333335</v>
      </c>
      <c r="AB22" s="2"/>
      <c r="AC22" s="94">
        <f>6950/$E$2</f>
        <v>0.46333333333333332</v>
      </c>
      <c r="AD22" s="94">
        <f>7340/$E$2</f>
        <v>0.48933333333333334</v>
      </c>
      <c r="AE22" s="94">
        <f>7690/$E$2</f>
        <v>0.51266666666666671</v>
      </c>
      <c r="AF22" s="94">
        <f>7950/$E$2</f>
        <v>0.53</v>
      </c>
      <c r="AG22" s="94">
        <f>8130/$E$2</f>
        <v>0.54200000000000004</v>
      </c>
      <c r="AH22" s="94">
        <f>8200/$E$2</f>
        <v>0.54666666666666663</v>
      </c>
      <c r="AI22" s="94">
        <f>8310/$E$2</f>
        <v>0.55400000000000005</v>
      </c>
      <c r="AJ22" s="94">
        <f>8380/$E$2</f>
        <v>0.55866666666666664</v>
      </c>
    </row>
    <row r="23" spans="1:36">
      <c r="B23" s="30" t="s">
        <v>32</v>
      </c>
      <c r="C23" s="101">
        <f>35.02930544/E2</f>
        <v>2.3352870293333336E-3</v>
      </c>
      <c r="D23" s="108">
        <f>863.339680081/E2</f>
        <v>5.7555978672066667E-2</v>
      </c>
      <c r="E23" s="109">
        <f>875.104891504/$E$2</f>
        <v>5.8340326100266661E-2</v>
      </c>
      <c r="F23" s="109">
        <f>875.104891504/$E$2</f>
        <v>5.8340326100266661E-2</v>
      </c>
      <c r="G23" s="109">
        <f>845.369780878/$E$2</f>
        <v>5.635798539186667E-2</v>
      </c>
      <c r="H23" s="109">
        <f>774.521677504/$E$2</f>
        <v>5.1634778500266668E-2</v>
      </c>
      <c r="I23" s="109">
        <f>774.521677504/$E$2</f>
        <v>5.1634778500266668E-2</v>
      </c>
      <c r="J23" s="88">
        <v>0.1</v>
      </c>
      <c r="K23" s="96">
        <f>291/E2</f>
        <v>1.9400000000000001E-2</v>
      </c>
      <c r="L23" s="90">
        <f>1509529501442/1000000000/E2</f>
        <v>0.10063530009613333</v>
      </c>
      <c r="M23" s="97" t="s">
        <v>33</v>
      </c>
      <c r="N23" s="90" t="s">
        <v>33</v>
      </c>
      <c r="O23" s="97" t="s">
        <v>33</v>
      </c>
      <c r="P23" s="2"/>
      <c r="Q23" s="110">
        <f>1179253745500/16000/1000000000</f>
        <v>7.3703359093750004E-2</v>
      </c>
      <c r="R23" s="2">
        <v>7.0000000000000007E-2</v>
      </c>
      <c r="S23" s="92"/>
      <c r="T23" s="111">
        <f>1146923114000/$E$2/1000000000</f>
        <v>7.6461540933333336E-2</v>
      </c>
      <c r="U23" s="92"/>
      <c r="V23" s="112">
        <f>1153711924390/1000000000/$E$2</f>
        <v>7.6914128292666667E-2</v>
      </c>
      <c r="W23" s="93">
        <f>1071/E2</f>
        <v>7.1400000000000005E-2</v>
      </c>
      <c r="X23" s="92">
        <f>1329.9/$E$2</f>
        <v>8.8660000000000003E-2</v>
      </c>
      <c r="Y23" s="93">
        <f>1260/$E$2</f>
        <v>8.4000000000000005E-2</v>
      </c>
      <c r="Z23" s="93">
        <f>1232/$E$2</f>
        <v>8.2133333333333336E-2</v>
      </c>
      <c r="AA23" s="94">
        <f>1256/$E$2</f>
        <v>8.373333333333334E-2</v>
      </c>
      <c r="AB23" s="2"/>
      <c r="AC23" s="94">
        <f>1300/$E$2</f>
        <v>8.666666666666667E-2</v>
      </c>
      <c r="AD23" s="94">
        <f>1282/$E$2</f>
        <v>8.5466666666666663E-2</v>
      </c>
      <c r="AE23" s="94">
        <f>1305/$E$2</f>
        <v>8.6999999999999994E-2</v>
      </c>
      <c r="AF23" s="94">
        <f>1306/$E$2</f>
        <v>8.7066666666666667E-2</v>
      </c>
      <c r="AG23" s="94">
        <f>1147/$E$2</f>
        <v>7.6466666666666669E-2</v>
      </c>
      <c r="AH23" s="94">
        <f>1154/$E$2</f>
        <v>7.693333333333334E-2</v>
      </c>
      <c r="AI23" s="94">
        <f>953/$E$2</f>
        <v>6.3533333333333331E-2</v>
      </c>
      <c r="AJ23" s="94">
        <f>946/$E$2</f>
        <v>6.306666666666666E-2</v>
      </c>
    </row>
    <row r="24" spans="1:36">
      <c r="B24" s="30" t="s">
        <v>52</v>
      </c>
      <c r="C24" s="88">
        <f>1300/E2</f>
        <v>8.666666666666667E-2</v>
      </c>
      <c r="D24" s="88">
        <f>1.5/E2*1000</f>
        <v>0.1</v>
      </c>
      <c r="E24" s="88">
        <f>1.8/$E$2*1000</f>
        <v>0.12000000000000001</v>
      </c>
      <c r="F24" s="88">
        <f>1.8/$E$2*1000</f>
        <v>0.12000000000000001</v>
      </c>
      <c r="G24" s="88">
        <f>2.3/$E$2*1000</f>
        <v>0.15333333333333332</v>
      </c>
      <c r="H24" s="88">
        <f>2.4/$E$2*1000</f>
        <v>0.15999999999999998</v>
      </c>
      <c r="I24" s="88">
        <f>2.4/$E$2*1000</f>
        <v>0.15999999999999998</v>
      </c>
      <c r="J24" s="88">
        <v>0.16</v>
      </c>
      <c r="K24" s="88">
        <f>2.3/$E$2*1000</f>
        <v>0.15333333333333332</v>
      </c>
      <c r="L24" s="90">
        <f>2.3*1000/E2</f>
        <v>0.15333333333333332</v>
      </c>
      <c r="M24" s="97">
        <f>2.1*1000/E2</f>
        <v>0.14000000000000001</v>
      </c>
      <c r="N24" s="98">
        <f>1.9*1000/$E$2</f>
        <v>0.12666666666666668</v>
      </c>
      <c r="O24" s="1">
        <v>0.12</v>
      </c>
      <c r="P24" s="2">
        <v>0.12</v>
      </c>
      <c r="Q24" s="92">
        <v>0.12</v>
      </c>
      <c r="R24" s="2">
        <v>0.14000000000000001</v>
      </c>
      <c r="S24" s="92"/>
      <c r="T24" s="92">
        <f>2500/$E$2</f>
        <v>0.16666666666666666</v>
      </c>
      <c r="U24" s="92"/>
      <c r="V24" s="94">
        <f>2400/$E$2</f>
        <v>0.16</v>
      </c>
      <c r="W24" s="93">
        <f>2500/E2</f>
        <v>0.16666666666666666</v>
      </c>
      <c r="X24" s="92">
        <f>2500/$E$2</f>
        <v>0.16666666666666666</v>
      </c>
      <c r="Y24" s="93">
        <f>2600/$E$2</f>
        <v>0.17333333333333334</v>
      </c>
      <c r="Z24" s="93">
        <f>2700/$E$2</f>
        <v>0.18</v>
      </c>
      <c r="AA24" s="94">
        <f>2700/$E$2</f>
        <v>0.18</v>
      </c>
      <c r="AB24" s="94">
        <f>2800/$E$2</f>
        <v>0.18666666666666668</v>
      </c>
      <c r="AC24" s="94">
        <f>2800/$E$2</f>
        <v>0.18666666666666668</v>
      </c>
      <c r="AD24" s="94">
        <f>2700/$E$2</f>
        <v>0.18</v>
      </c>
      <c r="AE24" s="94">
        <f>2800/$E$2</f>
        <v>0.18666666666666668</v>
      </c>
      <c r="AF24" s="94">
        <f>2800/$E$2</f>
        <v>0.18666666666666668</v>
      </c>
      <c r="AG24" s="94">
        <f>2700/$E$2</f>
        <v>0.18</v>
      </c>
      <c r="AH24" s="94">
        <f>2800/$E$2</f>
        <v>0.18666666666666668</v>
      </c>
      <c r="AI24" s="113">
        <f>2900/$E$2</f>
        <v>0.19333333333333333</v>
      </c>
      <c r="AJ24" s="106">
        <f>2900/$E$2</f>
        <v>0.19333333333333333</v>
      </c>
    </row>
    <row r="25" spans="1:36">
      <c r="B25" s="30" t="s">
        <v>34</v>
      </c>
      <c r="C25" s="88">
        <f>3.07/E2*1000</f>
        <v>0.20466666666666666</v>
      </c>
      <c r="D25" s="88">
        <f>3.11/E2*1000</f>
        <v>0.20733333333333331</v>
      </c>
      <c r="E25" s="88">
        <f>3.17/$E$2*1000</f>
        <v>0.21133333333333335</v>
      </c>
      <c r="F25" s="114">
        <f>3.24/$E$2*1000</f>
        <v>0.21600000000000003</v>
      </c>
      <c r="G25" s="114">
        <f>3.26/$E$2*1000</f>
        <v>0.21733333333333332</v>
      </c>
      <c r="H25" s="114">
        <f>3.3/$E$2*1000</f>
        <v>0.21999999999999997</v>
      </c>
      <c r="I25" s="114">
        <f>3.38/$E$2*1000</f>
        <v>0.22533333333333333</v>
      </c>
      <c r="J25" s="88">
        <v>0.26</v>
      </c>
      <c r="K25" s="88">
        <f>3.97/$E$2*1000</f>
        <v>0.26466666666666666</v>
      </c>
      <c r="L25" s="90">
        <f>4.49*1000/E2</f>
        <v>0.29933333333333334</v>
      </c>
      <c r="M25" s="97">
        <f>4.69*1000/E2</f>
        <v>0.31266666666666665</v>
      </c>
      <c r="N25" s="98">
        <f>5.08*1000/$E$2</f>
        <v>0.33866666666666667</v>
      </c>
      <c r="O25" s="99">
        <v>0.32</v>
      </c>
      <c r="P25" s="2">
        <v>0.34</v>
      </c>
      <c r="Q25" s="92">
        <f>5.6/16000*1000</f>
        <v>0.35</v>
      </c>
      <c r="R25" s="2">
        <v>0.37</v>
      </c>
      <c r="S25" s="92"/>
      <c r="T25" s="92">
        <f>5690/$E$2</f>
        <v>0.37933333333333336</v>
      </c>
      <c r="U25" s="92"/>
      <c r="V25" s="94">
        <f>5580/$E$2</f>
        <v>0.372</v>
      </c>
      <c r="W25" s="93">
        <f>5580/E2</f>
        <v>0.372</v>
      </c>
      <c r="X25" s="92">
        <f>5702/$E$2</f>
        <v>0.38013333333333332</v>
      </c>
      <c r="Y25" s="93">
        <f>5840/$E$2</f>
        <v>0.38933333333333331</v>
      </c>
      <c r="Z25" s="93">
        <f>5980/$E$2</f>
        <v>0.39866666666666667</v>
      </c>
      <c r="AA25" s="115">
        <f>6370/$E$2</f>
        <v>0.42466666666666669</v>
      </c>
      <c r="AB25" s="94">
        <f>7310/$E$2</f>
        <v>0.48733333333333334</v>
      </c>
      <c r="AC25" s="94">
        <f>7800/$E$2</f>
        <v>0.52</v>
      </c>
      <c r="AD25" s="94">
        <f>8100/$E$2</f>
        <v>0.54</v>
      </c>
      <c r="AE25" s="94">
        <f>8360/$E$2</f>
        <v>0.55733333333333335</v>
      </c>
      <c r="AF25" s="94">
        <f>8210/$E$2</f>
        <v>0.54733333333333334</v>
      </c>
      <c r="AG25" s="94">
        <f>8060/$E$2</f>
        <v>0.53733333333333333</v>
      </c>
      <c r="AH25" s="94">
        <f>7910/$E$2</f>
        <v>0.52733333333333332</v>
      </c>
      <c r="AI25" s="94">
        <f>7450/$E$2</f>
        <v>0.49666666666666665</v>
      </c>
      <c r="AJ25" s="94">
        <f>7280/$E$2</f>
        <v>0.48533333333333334</v>
      </c>
    </row>
    <row r="26" spans="1:36" hidden="1">
      <c r="B26" s="116" t="s">
        <v>36</v>
      </c>
      <c r="C26" s="88"/>
      <c r="D26" s="87"/>
      <c r="E26" s="87"/>
      <c r="F26" s="88">
        <f>430/$E$2</f>
        <v>2.8666666666666667E-2</v>
      </c>
      <c r="G26" s="88">
        <f>430/$E$2</f>
        <v>2.8666666666666667E-2</v>
      </c>
      <c r="H26" s="88">
        <f>410/$E$2</f>
        <v>2.7333333333333334E-2</v>
      </c>
      <c r="I26" s="88">
        <f>410/$E$2</f>
        <v>2.7333333333333334E-2</v>
      </c>
      <c r="J26" s="88">
        <v>0.03</v>
      </c>
      <c r="K26" s="99"/>
      <c r="L26" s="90">
        <f>486.4/E2</f>
        <v>3.2426666666666666E-2</v>
      </c>
      <c r="M26" s="97">
        <f>486.4/E2</f>
        <v>3.2426666666666666E-2</v>
      </c>
      <c r="N26" s="91"/>
      <c r="O26" s="99"/>
      <c r="P26" s="2"/>
      <c r="Q26" s="92"/>
      <c r="R26" s="2"/>
      <c r="S26" s="92"/>
      <c r="T26" s="2"/>
      <c r="U26" s="92"/>
      <c r="V26" s="94"/>
      <c r="W26" s="93"/>
      <c r="X26" s="92"/>
      <c r="Y26" s="93"/>
      <c r="Z26" s="93"/>
      <c r="AA26" s="94"/>
      <c r="AB26" s="2"/>
      <c r="AC26" s="94"/>
      <c r="AD26" s="2"/>
      <c r="AE26" s="2"/>
      <c r="AF26" s="2"/>
      <c r="AG26" s="94"/>
      <c r="AH26" s="2"/>
      <c r="AI26" s="2"/>
      <c r="AJ26" s="2"/>
    </row>
    <row r="27" spans="1:36">
      <c r="B27" s="30" t="s">
        <v>37</v>
      </c>
      <c r="C27" s="88"/>
      <c r="D27" s="87"/>
      <c r="E27" s="87"/>
      <c r="F27" s="88">
        <f>1030/$E$2</f>
        <v>6.8666666666666668E-2</v>
      </c>
      <c r="G27" s="88">
        <f>1.06/$E$2*1000</f>
        <v>7.0666666666666669E-2</v>
      </c>
      <c r="H27" s="88">
        <f>1.06/$E$2*1000</f>
        <v>7.0666666666666669E-2</v>
      </c>
      <c r="I27" s="88">
        <f>1.06/$E$2*1000</f>
        <v>7.0666666666666669E-2</v>
      </c>
      <c r="J27" s="88">
        <v>0.11</v>
      </c>
      <c r="K27" s="88">
        <f>1.53/$E$2*1000</f>
        <v>0.10199999999999999</v>
      </c>
      <c r="L27" s="90">
        <f>2.06*1000/E2</f>
        <v>0.13733333333333334</v>
      </c>
      <c r="M27" s="97">
        <f>2.14*1000/E2</f>
        <v>0.14266666666666666</v>
      </c>
      <c r="N27" s="117">
        <f>2.41*1000/$E$2</f>
        <v>0.16066666666666668</v>
      </c>
      <c r="O27" s="99">
        <v>0.15</v>
      </c>
      <c r="P27" s="2">
        <v>0.15</v>
      </c>
      <c r="Q27" s="92">
        <f>2.53/16000*1000</f>
        <v>0.15812499999999999</v>
      </c>
      <c r="R27" s="2">
        <v>0.16</v>
      </c>
      <c r="S27" s="92"/>
      <c r="T27" s="92">
        <f>2280/$E$2</f>
        <v>0.152</v>
      </c>
      <c r="U27" s="92"/>
      <c r="V27" s="94">
        <f>2240/$E$2</f>
        <v>0.14933333333333335</v>
      </c>
      <c r="W27" s="93">
        <f>2240/E2</f>
        <v>0.14933333333333335</v>
      </c>
      <c r="X27" s="92">
        <f>2000/$E$2</f>
        <v>0.13333333333333333</v>
      </c>
      <c r="Y27" s="93">
        <f>1900/$E$2</f>
        <v>0.12666666666666668</v>
      </c>
      <c r="Z27" s="93">
        <f>1790/$E$2</f>
        <v>0.11933333333333333</v>
      </c>
      <c r="AA27" s="94">
        <f>1790/$E$2</f>
        <v>0.11933333333333333</v>
      </c>
      <c r="AB27" s="2"/>
      <c r="AC27" s="94">
        <f>1220/$E$2</f>
        <v>8.1333333333333327E-2</v>
      </c>
      <c r="AD27" s="106">
        <f>1050/$E$2</f>
        <v>7.0000000000000007E-2</v>
      </c>
      <c r="AE27" s="2"/>
      <c r="AF27" s="2"/>
      <c r="AG27" s="106">
        <f>1050/$E$2</f>
        <v>7.0000000000000007E-2</v>
      </c>
      <c r="AH27" s="106">
        <f>1050/$E$2</f>
        <v>7.0000000000000007E-2</v>
      </c>
      <c r="AI27" s="2" t="s">
        <v>53</v>
      </c>
      <c r="AJ27" s="2" t="s">
        <v>53</v>
      </c>
    </row>
    <row r="28" spans="1:36">
      <c r="B28" s="30" t="s">
        <v>41</v>
      </c>
      <c r="C28" s="88"/>
      <c r="D28" s="87"/>
      <c r="E28" s="87"/>
      <c r="F28" s="88">
        <f>383.4/$E$2</f>
        <v>2.5559999999999999E-2</v>
      </c>
      <c r="G28" s="88">
        <f>383.418858258/$E$2</f>
        <v>2.5561257217200001E-2</v>
      </c>
      <c r="H28" s="88">
        <f>310.174751496/$E$2</f>
        <v>2.0678316766400001E-2</v>
      </c>
      <c r="I28" s="88">
        <f>310.174751496/$E$2</f>
        <v>2.0678316766400001E-2</v>
      </c>
      <c r="J28" s="88">
        <v>0.01</v>
      </c>
      <c r="K28" s="99"/>
      <c r="L28" s="90">
        <v>0.01</v>
      </c>
      <c r="M28" s="97">
        <f>136588152705/1000000000/E2</f>
        <v>9.1058768470000002E-3</v>
      </c>
      <c r="N28" s="98">
        <f>0.114*1000/$E$2</f>
        <v>7.6E-3</v>
      </c>
      <c r="O28" s="118">
        <f>0.114*1000/$E$2</f>
        <v>7.6E-3</v>
      </c>
      <c r="P28" s="2">
        <v>6.0000000000000001E-3</v>
      </c>
      <c r="Q28" s="92">
        <f>99422441155/16000/1000000000</f>
        <v>6.2139025721875E-3</v>
      </c>
      <c r="R28" s="2">
        <v>4.0000000000000001E-3</v>
      </c>
      <c r="S28" s="92"/>
      <c r="T28" s="119">
        <f>48304614567/$E$2/1000000000</f>
        <v>3.2203076378000003E-3</v>
      </c>
      <c r="U28" s="92"/>
      <c r="V28" s="120">
        <f>47610571859/1000000000/$E$2</f>
        <v>3.1740381239333329E-3</v>
      </c>
      <c r="W28" s="121">
        <f>46434023097/1000000000/E2</f>
        <v>3.0956015398000002E-3</v>
      </c>
      <c r="X28" s="122">
        <f>46.497/$E$2</f>
        <v>3.0997999999999998E-3</v>
      </c>
      <c r="Y28" s="93">
        <f>46.497/$E$2</f>
        <v>3.0997999999999998E-3</v>
      </c>
      <c r="Z28" s="93">
        <f>46.497/$E$2</f>
        <v>3.0997999999999998E-3</v>
      </c>
      <c r="AA28" s="94">
        <f>46.497/$E$2</f>
        <v>3.0997999999999998E-3</v>
      </c>
      <c r="AB28" s="2"/>
      <c r="AC28" s="92">
        <v>0</v>
      </c>
      <c r="AD28" s="123">
        <v>0</v>
      </c>
      <c r="AE28" s="2"/>
      <c r="AF28" s="2"/>
      <c r="AG28" s="124" t="s">
        <v>54</v>
      </c>
      <c r="AH28" s="124" t="s">
        <v>54</v>
      </c>
      <c r="AI28" t="s">
        <v>43</v>
      </c>
    </row>
    <row r="29" spans="1:36">
      <c r="B29" s="100" t="s">
        <v>44</v>
      </c>
      <c r="C29" s="88"/>
      <c r="D29" s="87"/>
      <c r="E29" s="87"/>
      <c r="F29" s="88">
        <f>1900/$E$2</f>
        <v>0.12666666666666668</v>
      </c>
      <c r="G29" s="88">
        <f>1900/$E$2</f>
        <v>0.12666666666666668</v>
      </c>
      <c r="H29" s="88">
        <f>1900/$E$2</f>
        <v>0.12666666666666668</v>
      </c>
      <c r="I29" s="88">
        <f>1900/$E$2</f>
        <v>0.12666666666666668</v>
      </c>
      <c r="J29" s="88">
        <v>0.14000000000000001</v>
      </c>
      <c r="K29" s="91"/>
      <c r="L29" s="90">
        <f>2000/E2</f>
        <v>0.13333333333333333</v>
      </c>
      <c r="M29" s="90">
        <f>2*1000/E2</f>
        <v>0.13333333333333333</v>
      </c>
      <c r="N29" s="98">
        <f>2.3*1000/$E$2</f>
        <v>0.15333333333333332</v>
      </c>
      <c r="O29" s="91">
        <v>0.14000000000000001</v>
      </c>
      <c r="P29" s="2">
        <v>0.14000000000000001</v>
      </c>
      <c r="Q29" s="125"/>
      <c r="R29" s="2">
        <v>0.15</v>
      </c>
      <c r="S29" s="92"/>
      <c r="T29" s="92">
        <f>2223598878547/$E$2/1000000000</f>
        <v>0.14823992523646667</v>
      </c>
      <c r="U29" s="92"/>
      <c r="V29" s="94">
        <f>1902.02/$E$2</f>
        <v>0.12680133333333332</v>
      </c>
      <c r="W29" s="94">
        <f>1902.02/15000</f>
        <v>0.12680133333333332</v>
      </c>
      <c r="X29" s="104">
        <f>1902/$E$2</f>
        <v>0.1268</v>
      </c>
      <c r="Y29" s="104">
        <f>1902/$E$2</f>
        <v>0.1268</v>
      </c>
      <c r="Z29" s="104">
        <f>1902/$E$2</f>
        <v>0.1268</v>
      </c>
      <c r="AA29" s="104">
        <f>1902/$E$2</f>
        <v>0.1268</v>
      </c>
      <c r="AB29" s="2"/>
      <c r="AC29" s="2" t="str">
        <f>TEXT(691035526665/$E$2/1000000000,"0.00")&amp;"(7月)"</f>
        <v>0.05(7月)</v>
      </c>
      <c r="AD29" s="94">
        <f>529382528979/$E$2/1000000000</f>
        <v>3.5292168598600002E-2</v>
      </c>
      <c r="AE29" s="94">
        <f>523795089109/$E$2/1000000000</f>
        <v>3.4919672607266666E-2</v>
      </c>
      <c r="AF29" s="2"/>
      <c r="AG29" s="2" t="s">
        <v>45</v>
      </c>
      <c r="AH29" s="2" t="s">
        <v>45</v>
      </c>
      <c r="AI29" t="s">
        <v>45</v>
      </c>
      <c r="AJ29" t="s">
        <v>45</v>
      </c>
    </row>
    <row r="30" spans="1:36" hidden="1">
      <c r="B30" s="30" t="s">
        <v>46</v>
      </c>
      <c r="C30" s="88"/>
      <c r="D30" s="87"/>
      <c r="E30" s="87"/>
      <c r="F30" s="88">
        <f>710.97/$E$2</f>
        <v>4.7398000000000003E-2</v>
      </c>
      <c r="G30" s="88">
        <f>739.88/$E$2</f>
        <v>4.9325333333333332E-2</v>
      </c>
      <c r="H30" s="88">
        <f>721.38/$E$2</f>
        <v>4.8092000000000003E-2</v>
      </c>
      <c r="I30" s="88">
        <f>671.43/$E$2</f>
        <v>4.4761999999999996E-2</v>
      </c>
      <c r="J30" s="88">
        <v>0.04</v>
      </c>
      <c r="K30" s="99"/>
      <c r="L30" s="90">
        <f>480.12/E2</f>
        <v>3.2008000000000002E-2</v>
      </c>
      <c r="M30" s="97">
        <f>444.69/E2</f>
        <v>2.9645999999999999E-2</v>
      </c>
      <c r="N30" s="98">
        <f>0.2559*1000/$E$2</f>
        <v>1.7059999999999999E-2</v>
      </c>
      <c r="O30" s="99">
        <v>0.03</v>
      </c>
      <c r="P30" s="2">
        <v>2.5000000000000001E-2</v>
      </c>
      <c r="Q30" s="92">
        <f>402.13/16000</f>
        <v>2.5133124999999999E-2</v>
      </c>
      <c r="R30" s="2"/>
      <c r="S30" s="92"/>
      <c r="T30" s="2"/>
      <c r="U30" s="92"/>
      <c r="V30" s="94"/>
      <c r="W30" s="93"/>
      <c r="X30" s="92"/>
      <c r="Y30" s="93"/>
      <c r="Z30" s="93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>
      <c r="B31" s="30" t="s">
        <v>47</v>
      </c>
      <c r="C31" s="88"/>
      <c r="D31" s="87"/>
      <c r="E31" s="87"/>
      <c r="F31" s="88">
        <f>171.81/$E$2</f>
        <v>1.1454000000000001E-2</v>
      </c>
      <c r="G31" s="88">
        <f>153.31/$E$2</f>
        <v>1.0220666666666666E-2</v>
      </c>
      <c r="H31" s="126">
        <f>153.31/$E$2</f>
        <v>1.0220666666666666E-2</v>
      </c>
      <c r="I31" s="127">
        <f>138.85/$E$2</f>
        <v>9.2566666666666665E-3</v>
      </c>
      <c r="J31" s="88">
        <v>0.01</v>
      </c>
      <c r="K31" s="1"/>
      <c r="L31" s="128"/>
      <c r="M31" s="1"/>
      <c r="N31" s="98">
        <f>0.12657*1000/$E$2</f>
        <v>8.4379999999999993E-3</v>
      </c>
      <c r="O31" s="129">
        <f>0.12657*1000/$E$2</f>
        <v>8.4379999999999993E-3</v>
      </c>
      <c r="P31" s="2"/>
      <c r="Q31" s="92"/>
      <c r="R31" s="2"/>
      <c r="S31" s="92"/>
      <c r="T31" s="2"/>
      <c r="U31" s="92"/>
      <c r="V31" s="94"/>
      <c r="W31" s="93"/>
      <c r="X31" s="92"/>
      <c r="Y31" s="93"/>
      <c r="Z31" s="93"/>
      <c r="AA31" s="2"/>
      <c r="AB31" s="2"/>
      <c r="AC31" s="2"/>
      <c r="AD31" s="2"/>
      <c r="AE31" s="2"/>
      <c r="AF31" s="2"/>
      <c r="AG31" s="130">
        <f>18.35/$E$2</f>
        <v>1.2233333333333334E-3</v>
      </c>
      <c r="AH31" s="131">
        <f>179.51/$E$2</f>
        <v>1.1967333333333333E-2</v>
      </c>
      <c r="AI31" s="131">
        <f>153.38/$E$2</f>
        <v>1.0225333333333333E-2</v>
      </c>
      <c r="AJ31" s="131">
        <f>165.55/$E$2</f>
        <v>1.1036666666666667E-2</v>
      </c>
    </row>
    <row r="32" spans="1:36">
      <c r="B32" s="30" t="s">
        <v>49</v>
      </c>
      <c r="C32" s="88"/>
      <c r="D32" s="87"/>
      <c r="E32" s="87"/>
      <c r="F32" s="88"/>
      <c r="G32" s="88"/>
      <c r="H32" s="126"/>
      <c r="I32" s="127"/>
      <c r="J32" s="88"/>
      <c r="K32" s="1"/>
      <c r="L32" s="128"/>
      <c r="M32" s="1"/>
      <c r="N32" s="98"/>
      <c r="O32" s="129"/>
      <c r="P32" s="2"/>
      <c r="Q32" s="92"/>
      <c r="R32" s="2"/>
      <c r="S32" s="92"/>
      <c r="T32" s="2"/>
      <c r="U32" s="92"/>
      <c r="V32" s="94"/>
      <c r="W32" s="93"/>
      <c r="X32" s="92"/>
      <c r="Y32" s="93"/>
      <c r="Z32" s="93"/>
      <c r="AA32" s="2"/>
      <c r="AB32" s="2"/>
      <c r="AC32" s="2"/>
      <c r="AD32" s="2"/>
      <c r="AE32" s="2"/>
      <c r="AF32" s="2"/>
      <c r="AG32" s="130"/>
      <c r="AH32" s="107">
        <f>3099/$E$2</f>
        <v>0.20660000000000001</v>
      </c>
      <c r="AI32" s="107">
        <f>3250/$E$2</f>
        <v>0.21666666666666667</v>
      </c>
      <c r="AJ32" s="107">
        <f>3250/$E$2</f>
        <v>0.21666666666666667</v>
      </c>
    </row>
    <row r="33" spans="1:36">
      <c r="B33" s="83" t="s">
        <v>55</v>
      </c>
      <c r="C33" s="31">
        <v>44936</v>
      </c>
      <c r="D33" s="31">
        <v>44972</v>
      </c>
      <c r="E33" s="31">
        <v>45001</v>
      </c>
      <c r="F33" s="32">
        <v>45034</v>
      </c>
      <c r="G33" s="31">
        <v>45069</v>
      </c>
      <c r="H33" s="31">
        <v>45102</v>
      </c>
      <c r="I33" s="31">
        <v>45120</v>
      </c>
      <c r="J33" s="32">
        <v>45176</v>
      </c>
      <c r="K33" s="32">
        <v>45209</v>
      </c>
      <c r="L33" s="32">
        <v>45271</v>
      </c>
      <c r="M33" s="33">
        <v>45294</v>
      </c>
      <c r="N33" s="33" t="s">
        <v>6</v>
      </c>
      <c r="O33" s="33" t="s">
        <v>7</v>
      </c>
      <c r="P33" s="33" t="s">
        <v>8</v>
      </c>
      <c r="Q33" s="33" t="s">
        <v>9</v>
      </c>
      <c r="R33" s="33" t="s">
        <v>10</v>
      </c>
      <c r="S33" s="13" t="s">
        <v>11</v>
      </c>
      <c r="T33" s="33" t="s">
        <v>12</v>
      </c>
      <c r="V33" s="33" t="s">
        <v>13</v>
      </c>
      <c r="W33" s="35" t="s">
        <v>14</v>
      </c>
      <c r="X33" s="35" t="s">
        <v>15</v>
      </c>
      <c r="Y33" s="35" t="s">
        <v>16</v>
      </c>
      <c r="Z33" s="35" t="s">
        <v>17</v>
      </c>
      <c r="AA33" s="35" t="s">
        <v>18</v>
      </c>
      <c r="AC33" s="35" t="s">
        <v>20</v>
      </c>
      <c r="AD33" s="35" t="s">
        <v>21</v>
      </c>
      <c r="AE33" s="35" t="s">
        <v>22</v>
      </c>
      <c r="AF33" s="36" t="s">
        <v>23</v>
      </c>
      <c r="AG33" s="35" t="s">
        <v>24</v>
      </c>
      <c r="AH33" s="37" t="s">
        <v>25</v>
      </c>
      <c r="AI33" s="37" t="s">
        <v>26</v>
      </c>
      <c r="AJ33" s="37" t="s">
        <v>27</v>
      </c>
    </row>
    <row r="34" spans="1:36">
      <c r="A34" s="132"/>
      <c r="B34" s="86" t="s">
        <v>56</v>
      </c>
      <c r="C34" s="134"/>
      <c r="D34" s="133"/>
      <c r="E34" s="133"/>
      <c r="F34" s="134"/>
      <c r="G34" s="134"/>
      <c r="H34" s="134"/>
      <c r="I34" s="134"/>
      <c r="K34" s="14"/>
      <c r="L34" s="14"/>
      <c r="M34" s="14"/>
      <c r="N34" s="14"/>
      <c r="O34" s="14"/>
      <c r="Q34" s="135"/>
      <c r="R34" s="14"/>
      <c r="S34" s="136"/>
      <c r="V34" s="13"/>
      <c r="W34" s="137"/>
      <c r="X34" s="56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</row>
    <row r="35" spans="1:36">
      <c r="A35" s="138"/>
      <c r="B35" s="83" t="s">
        <v>582</v>
      </c>
      <c r="C35" s="140" t="s">
        <v>57</v>
      </c>
      <c r="D35" s="139"/>
      <c r="E35" s="139"/>
      <c r="F35" s="140" t="s">
        <v>58</v>
      </c>
      <c r="G35" s="140" t="s">
        <v>59</v>
      </c>
      <c r="H35" s="140" t="s">
        <v>60</v>
      </c>
      <c r="I35" s="140" t="s">
        <v>61</v>
      </c>
      <c r="K35" s="4"/>
      <c r="L35" s="14" t="s">
        <v>62</v>
      </c>
      <c r="M35" s="4" t="s">
        <v>63</v>
      </c>
      <c r="N35" s="14" t="s">
        <v>64</v>
      </c>
      <c r="O35" s="4" t="s">
        <v>65</v>
      </c>
      <c r="P35" s="141" t="s">
        <v>66</v>
      </c>
      <c r="Q35" s="135" t="s">
        <v>67</v>
      </c>
      <c r="R35" s="14" t="s">
        <v>68</v>
      </c>
      <c r="S35" s="142"/>
      <c r="T35" s="141" t="s">
        <v>68</v>
      </c>
      <c r="V35" s="56" t="s">
        <v>69</v>
      </c>
      <c r="W35" s="143" t="s">
        <v>70</v>
      </c>
      <c r="X35" s="56" t="s">
        <v>71</v>
      </c>
      <c r="Y35" s="56" t="s">
        <v>72</v>
      </c>
      <c r="Z35" s="141" t="s">
        <v>73</v>
      </c>
      <c r="AA35" s="141" t="s">
        <v>74</v>
      </c>
      <c r="AB35" s="135"/>
      <c r="AC35" s="144" t="s">
        <v>75</v>
      </c>
      <c r="AD35" s="135" t="s">
        <v>76</v>
      </c>
      <c r="AE35" s="135" t="s">
        <v>77</v>
      </c>
      <c r="AF35" s="135" t="s">
        <v>78</v>
      </c>
      <c r="AG35" s="135" t="s">
        <v>79</v>
      </c>
      <c r="AH35" s="135" t="s">
        <v>80</v>
      </c>
      <c r="AI35" s="135" t="s">
        <v>81</v>
      </c>
      <c r="AJ35" s="135" t="s">
        <v>82</v>
      </c>
    </row>
    <row r="36" spans="1:36">
      <c r="B36" s="100" t="s">
        <v>30</v>
      </c>
      <c r="C36" s="86"/>
      <c r="D36" s="39"/>
      <c r="E36" s="39"/>
      <c r="F36" s="86"/>
      <c r="G36" s="86"/>
      <c r="H36" s="86" t="s">
        <v>83</v>
      </c>
      <c r="I36" s="86"/>
      <c r="K36" s="14"/>
      <c r="L36" s="14"/>
      <c r="M36" s="14"/>
      <c r="N36" s="14"/>
      <c r="O36" s="14"/>
      <c r="S36" s="13" t="s">
        <v>84</v>
      </c>
      <c r="T36" t="s">
        <v>85</v>
      </c>
      <c r="U36" s="13"/>
      <c r="V36" t="s">
        <v>86</v>
      </c>
      <c r="W36" s="23" t="s">
        <v>87</v>
      </c>
      <c r="X36" s="13" t="s">
        <v>88</v>
      </c>
      <c r="Y36" t="s">
        <v>89</v>
      </c>
      <c r="Z36" t="s">
        <v>90</v>
      </c>
      <c r="AA36" t="s">
        <v>91</v>
      </c>
      <c r="AC36" t="s">
        <v>92</v>
      </c>
      <c r="AD36" t="s">
        <v>93</v>
      </c>
      <c r="AE36" t="s">
        <v>94</v>
      </c>
      <c r="AF36" t="s">
        <v>95</v>
      </c>
      <c r="AG36" t="s">
        <v>96</v>
      </c>
      <c r="AH36" t="s">
        <v>97</v>
      </c>
      <c r="AI36" t="s">
        <v>98</v>
      </c>
      <c r="AJ36" t="s">
        <v>99</v>
      </c>
    </row>
    <row r="37" spans="1:36">
      <c r="B37" s="100" t="s">
        <v>31</v>
      </c>
      <c r="C37" s="145" t="s">
        <v>100</v>
      </c>
      <c r="D37" s="39"/>
      <c r="E37" s="39"/>
      <c r="F37" s="145" t="s">
        <v>101</v>
      </c>
      <c r="G37" s="145" t="s">
        <v>102</v>
      </c>
      <c r="H37" s="145" t="s">
        <v>103</v>
      </c>
      <c r="I37" s="145" t="s">
        <v>104</v>
      </c>
      <c r="K37" s="4" t="s">
        <v>105</v>
      </c>
      <c r="L37" s="14" t="s">
        <v>106</v>
      </c>
      <c r="M37" s="14" t="s">
        <v>106</v>
      </c>
      <c r="N37" s="14" t="s">
        <v>107</v>
      </c>
      <c r="O37" s="4"/>
      <c r="P37" t="s">
        <v>108</v>
      </c>
      <c r="Q37" t="s">
        <v>109</v>
      </c>
      <c r="R37" t="s">
        <v>110</v>
      </c>
      <c r="S37" s="13"/>
      <c r="T37" t="s">
        <v>111</v>
      </c>
      <c r="U37" s="13"/>
      <c r="V37" t="s">
        <v>112</v>
      </c>
      <c r="W37" t="s">
        <v>113</v>
      </c>
      <c r="X37" s="77" t="s">
        <v>53</v>
      </c>
      <c r="Y37" t="s">
        <v>114</v>
      </c>
      <c r="Z37" t="s">
        <v>115</v>
      </c>
      <c r="AA37" t="s">
        <v>116</v>
      </c>
      <c r="AC37" t="s">
        <v>117</v>
      </c>
      <c r="AD37" t="s">
        <v>118</v>
      </c>
      <c r="AE37" t="s">
        <v>119</v>
      </c>
      <c r="AF37" t="s">
        <v>120</v>
      </c>
      <c r="AG37" t="s">
        <v>121</v>
      </c>
      <c r="AH37" t="s">
        <v>72</v>
      </c>
      <c r="AI37" t="s">
        <v>122</v>
      </c>
      <c r="AJ37" t="s">
        <v>123</v>
      </c>
    </row>
    <row r="38" spans="1:36">
      <c r="B38" s="30" t="s">
        <v>32</v>
      </c>
      <c r="C38" s="145" t="s">
        <v>124</v>
      </c>
      <c r="D38" s="39"/>
      <c r="E38" s="39"/>
      <c r="F38" s="145" t="s">
        <v>125</v>
      </c>
      <c r="G38" s="145" t="s">
        <v>126</v>
      </c>
      <c r="H38" s="145" t="s">
        <v>127</v>
      </c>
      <c r="I38" s="145" t="s">
        <v>127</v>
      </c>
      <c r="K38" s="4" t="s">
        <v>128</v>
      </c>
      <c r="L38" s="14" t="s">
        <v>129</v>
      </c>
      <c r="M38" s="4" t="s">
        <v>33</v>
      </c>
      <c r="N38" s="14"/>
      <c r="O38" s="4"/>
      <c r="Q38" s="146" t="s">
        <v>130</v>
      </c>
      <c r="R38" t="s">
        <v>131</v>
      </c>
      <c r="S38" s="13"/>
      <c r="T38" t="s">
        <v>132</v>
      </c>
      <c r="U38" s="13"/>
      <c r="V38" t="s">
        <v>133</v>
      </c>
      <c r="W38" s="23" t="s">
        <v>134</v>
      </c>
      <c r="X38" t="s">
        <v>135</v>
      </c>
      <c r="Y38" t="s">
        <v>136</v>
      </c>
      <c r="Z38" t="s">
        <v>136</v>
      </c>
      <c r="AA38" t="s">
        <v>137</v>
      </c>
      <c r="AC38" t="s">
        <v>138</v>
      </c>
      <c r="AD38" t="s">
        <v>139</v>
      </c>
      <c r="AE38" t="s">
        <v>140</v>
      </c>
      <c r="AF38" t="s">
        <v>141</v>
      </c>
      <c r="AG38" t="s">
        <v>141</v>
      </c>
      <c r="AH38" t="s">
        <v>142</v>
      </c>
      <c r="AI38" t="s">
        <v>143</v>
      </c>
      <c r="AJ38" t="s">
        <v>144</v>
      </c>
    </row>
    <row r="39" spans="1:36">
      <c r="B39" s="30" t="s">
        <v>52</v>
      </c>
      <c r="C39" s="145" t="s">
        <v>124</v>
      </c>
      <c r="D39" s="39"/>
      <c r="E39" s="39"/>
      <c r="F39" s="145" t="s">
        <v>145</v>
      </c>
      <c r="G39" s="145" t="s">
        <v>146</v>
      </c>
      <c r="H39" s="145" t="s">
        <v>147</v>
      </c>
      <c r="I39" s="145" t="s">
        <v>147</v>
      </c>
      <c r="K39" s="4" t="s">
        <v>148</v>
      </c>
      <c r="L39" s="14" t="s">
        <v>149</v>
      </c>
      <c r="M39" s="147" t="s">
        <v>150</v>
      </c>
      <c r="N39" s="14" t="s">
        <v>151</v>
      </c>
      <c r="O39" s="4" t="s">
        <v>152</v>
      </c>
      <c r="P39" t="s">
        <v>84</v>
      </c>
      <c r="Q39" t="s">
        <v>84</v>
      </c>
      <c r="R39" t="s">
        <v>153</v>
      </c>
      <c r="S39" s="13"/>
      <c r="T39" t="s">
        <v>154</v>
      </c>
      <c r="U39" s="13"/>
      <c r="V39" t="s">
        <v>154</v>
      </c>
      <c r="W39" t="s">
        <v>155</v>
      </c>
      <c r="X39" t="s">
        <v>156</v>
      </c>
      <c r="Y39" t="s">
        <v>157</v>
      </c>
      <c r="Z39" t="s">
        <v>158</v>
      </c>
      <c r="AA39" t="s">
        <v>158</v>
      </c>
      <c r="AC39" t="s">
        <v>159</v>
      </c>
      <c r="AD39" t="s">
        <v>159</v>
      </c>
      <c r="AE39" t="s">
        <v>160</v>
      </c>
      <c r="AF39" t="s">
        <v>160</v>
      </c>
      <c r="AG39" t="s">
        <v>124</v>
      </c>
      <c r="AH39" t="s">
        <v>124</v>
      </c>
      <c r="AI39" t="s">
        <v>161</v>
      </c>
      <c r="AJ39" t="s">
        <v>162</v>
      </c>
    </row>
    <row r="40" spans="1:36">
      <c r="B40" s="30" t="s">
        <v>34</v>
      </c>
      <c r="C40" s="145" t="s">
        <v>163</v>
      </c>
      <c r="D40" s="39"/>
      <c r="E40" s="39"/>
      <c r="F40" s="148" t="s">
        <v>522</v>
      </c>
      <c r="G40" s="148" t="s">
        <v>164</v>
      </c>
      <c r="H40" s="145" t="s">
        <v>165</v>
      </c>
      <c r="I40" s="145" t="s">
        <v>166</v>
      </c>
      <c r="K40" s="4" t="s">
        <v>167</v>
      </c>
      <c r="L40" s="14" t="s">
        <v>168</v>
      </c>
      <c r="M40" s="4" t="s">
        <v>169</v>
      </c>
      <c r="N40" s="14" t="s">
        <v>68</v>
      </c>
      <c r="O40" s="4" t="s">
        <v>170</v>
      </c>
      <c r="P40" t="s">
        <v>171</v>
      </c>
      <c r="Q40" t="s">
        <v>172</v>
      </c>
      <c r="R40" t="s">
        <v>173</v>
      </c>
      <c r="S40" s="13"/>
      <c r="T40" t="s">
        <v>174</v>
      </c>
      <c r="U40" s="13"/>
      <c r="V40" t="s">
        <v>175</v>
      </c>
      <c r="W40" t="s">
        <v>175</v>
      </c>
      <c r="X40" t="s">
        <v>176</v>
      </c>
      <c r="Y40" t="s">
        <v>151</v>
      </c>
      <c r="Z40" t="s">
        <v>177</v>
      </c>
      <c r="AA40" t="s">
        <v>178</v>
      </c>
      <c r="AC40" t="s">
        <v>157</v>
      </c>
      <c r="AD40" t="s">
        <v>179</v>
      </c>
      <c r="AE40" t="s">
        <v>180</v>
      </c>
      <c r="AF40" t="s">
        <v>181</v>
      </c>
      <c r="AG40" t="s">
        <v>182</v>
      </c>
      <c r="AH40" t="s">
        <v>183</v>
      </c>
      <c r="AI40" t="s">
        <v>184</v>
      </c>
      <c r="AJ40" t="s">
        <v>185</v>
      </c>
    </row>
    <row r="41" spans="1:36" hidden="1">
      <c r="B41" s="116" t="s">
        <v>36</v>
      </c>
      <c r="C41" s="149"/>
      <c r="D41" s="39"/>
      <c r="E41" s="39"/>
      <c r="F41" s="145" t="s">
        <v>186</v>
      </c>
      <c r="G41" s="145" t="s">
        <v>186</v>
      </c>
      <c r="H41" s="145" t="s">
        <v>187</v>
      </c>
      <c r="I41" s="145" t="s">
        <v>187</v>
      </c>
      <c r="K41" s="4"/>
      <c r="L41" s="14" t="s">
        <v>188</v>
      </c>
      <c r="M41" s="14" t="s">
        <v>188</v>
      </c>
      <c r="N41" t="s">
        <v>189</v>
      </c>
      <c r="O41" s="4"/>
      <c r="P41" t="s">
        <v>190</v>
      </c>
      <c r="Q41" t="s">
        <v>191</v>
      </c>
      <c r="R41" t="s">
        <v>192</v>
      </c>
      <c r="S41" s="13"/>
      <c r="U41" s="13"/>
    </row>
    <row r="42" spans="1:36">
      <c r="B42" s="30" t="s">
        <v>37</v>
      </c>
      <c r="C42" s="149"/>
      <c r="D42" s="39"/>
      <c r="E42" s="39"/>
      <c r="F42" s="145" t="s">
        <v>193</v>
      </c>
      <c r="G42" s="145" t="s">
        <v>194</v>
      </c>
      <c r="H42" s="145" t="s">
        <v>194</v>
      </c>
      <c r="I42" s="145" t="s">
        <v>194</v>
      </c>
      <c r="K42" s="4" t="s">
        <v>195</v>
      </c>
      <c r="L42" s="14" t="s">
        <v>196</v>
      </c>
      <c r="M42" s="4" t="s">
        <v>197</v>
      </c>
      <c r="N42" s="14" t="s">
        <v>198</v>
      </c>
      <c r="O42" s="4" t="s">
        <v>199</v>
      </c>
      <c r="P42" t="s">
        <v>200</v>
      </c>
      <c r="Q42" t="s">
        <v>201</v>
      </c>
      <c r="R42" t="s">
        <v>202</v>
      </c>
      <c r="S42" s="13"/>
      <c r="T42" t="s">
        <v>203</v>
      </c>
      <c r="U42" s="13"/>
      <c r="V42" t="s">
        <v>204</v>
      </c>
      <c r="W42" t="s">
        <v>205</v>
      </c>
      <c r="X42" t="s">
        <v>206</v>
      </c>
      <c r="Y42" t="s">
        <v>207</v>
      </c>
      <c r="Z42" t="s">
        <v>208</v>
      </c>
      <c r="AA42" t="s">
        <v>208</v>
      </c>
      <c r="AC42" t="s">
        <v>209</v>
      </c>
      <c r="AD42" s="81" t="s">
        <v>209</v>
      </c>
      <c r="AG42" t="s">
        <v>210</v>
      </c>
      <c r="AH42" t="s">
        <v>210</v>
      </c>
      <c r="AI42" t="s">
        <v>59</v>
      </c>
      <c r="AJ42" t="s">
        <v>209</v>
      </c>
    </row>
    <row r="43" spans="1:36">
      <c r="B43" s="30" t="s">
        <v>41</v>
      </c>
      <c r="C43" s="149"/>
      <c r="D43" s="39"/>
      <c r="E43" s="39"/>
      <c r="F43" s="145" t="s">
        <v>211</v>
      </c>
      <c r="G43" s="150" t="s">
        <v>211</v>
      </c>
      <c r="H43" s="145" t="s">
        <v>212</v>
      </c>
      <c r="I43" s="145" t="s">
        <v>212</v>
      </c>
      <c r="K43" s="4"/>
      <c r="L43" s="14" t="s">
        <v>196</v>
      </c>
      <c r="M43" s="4" t="s">
        <v>213</v>
      </c>
      <c r="N43" s="14"/>
      <c r="O43" s="4" t="s">
        <v>214</v>
      </c>
      <c r="P43" s="141" t="s">
        <v>214</v>
      </c>
      <c r="Q43" t="s">
        <v>214</v>
      </c>
      <c r="R43" t="s">
        <v>215</v>
      </c>
      <c r="S43" s="13"/>
      <c r="T43" t="s">
        <v>216</v>
      </c>
      <c r="U43" s="13"/>
      <c r="V43" t="s">
        <v>217</v>
      </c>
      <c r="W43" s="23" t="s">
        <v>218</v>
      </c>
      <c r="X43" t="s">
        <v>219</v>
      </c>
      <c r="Y43" t="s">
        <v>219</v>
      </c>
      <c r="Z43" t="s">
        <v>219</v>
      </c>
      <c r="AA43" t="s">
        <v>219</v>
      </c>
      <c r="AC43" t="s">
        <v>220</v>
      </c>
      <c r="AD43" s="80" t="s">
        <v>221</v>
      </c>
      <c r="AG43" s="81" t="s">
        <v>221</v>
      </c>
      <c r="AH43" s="81" t="s">
        <v>221</v>
      </c>
      <c r="AI43" t="s">
        <v>43</v>
      </c>
    </row>
    <row r="44" spans="1:36">
      <c r="B44" s="30" t="s">
        <v>44</v>
      </c>
      <c r="C44" s="149"/>
      <c r="D44" s="39"/>
      <c r="E44" s="39"/>
      <c r="F44" s="149"/>
      <c r="G44" s="149"/>
      <c r="H44" s="149"/>
      <c r="I44" s="149"/>
      <c r="L44" t="s">
        <v>186</v>
      </c>
      <c r="M44" t="s">
        <v>186</v>
      </c>
      <c r="O44" t="s">
        <v>186</v>
      </c>
      <c r="P44" t="s">
        <v>186</v>
      </c>
      <c r="S44" s="13"/>
      <c r="T44" s="13">
        <f>(32317+2935)/1000000</f>
        <v>3.5251999999999999E-2</v>
      </c>
      <c r="U44" s="13"/>
      <c r="W44" t="s">
        <v>222</v>
      </c>
      <c r="X44" s="151" t="s">
        <v>223</v>
      </c>
      <c r="Y44" s="151" t="s">
        <v>223</v>
      </c>
      <c r="Z44" s="151" t="s">
        <v>223</v>
      </c>
      <c r="AA44" s="151" t="s">
        <v>223</v>
      </c>
      <c r="AC44" t="s">
        <v>223</v>
      </c>
      <c r="AD44" t="s">
        <v>223</v>
      </c>
      <c r="AE44" t="s">
        <v>223</v>
      </c>
      <c r="AG44" t="s">
        <v>45</v>
      </c>
      <c r="AH44" t="s">
        <v>45</v>
      </c>
      <c r="AI44" t="s">
        <v>45</v>
      </c>
      <c r="AJ44" t="s">
        <v>45</v>
      </c>
    </row>
    <row r="45" spans="1:36" hidden="1">
      <c r="B45" s="30" t="s">
        <v>46</v>
      </c>
      <c r="C45" s="149"/>
      <c r="D45" s="39"/>
      <c r="E45" s="39"/>
      <c r="F45" s="149"/>
      <c r="G45" s="149" t="s">
        <v>224</v>
      </c>
      <c r="H45" s="145" t="s">
        <v>225</v>
      </c>
      <c r="I45" s="145" t="s">
        <v>225</v>
      </c>
      <c r="K45" s="4"/>
      <c r="L45" s="14" t="s">
        <v>226</v>
      </c>
      <c r="M45" s="4" t="s">
        <v>227</v>
      </c>
      <c r="N45" s="14"/>
      <c r="O45" s="4" t="s">
        <v>228</v>
      </c>
      <c r="P45" t="s">
        <v>228</v>
      </c>
      <c r="Q45" t="s">
        <v>229</v>
      </c>
      <c r="S45" s="13"/>
      <c r="U45" s="13"/>
    </row>
    <row r="46" spans="1:36">
      <c r="B46" s="30" t="s">
        <v>47</v>
      </c>
      <c r="C46" s="149"/>
      <c r="D46" s="39"/>
      <c r="E46" s="39"/>
      <c r="F46" s="149"/>
      <c r="G46" s="149" t="s">
        <v>230</v>
      </c>
      <c r="H46" s="152" t="s">
        <v>230</v>
      </c>
      <c r="I46" s="145" t="s">
        <v>231</v>
      </c>
      <c r="K46" s="45"/>
      <c r="L46" s="45"/>
      <c r="M46" s="45"/>
      <c r="N46" s="45"/>
      <c r="O46" s="45"/>
      <c r="S46" s="13"/>
      <c r="U46" s="13"/>
      <c r="AG46" s="153">
        <v>74735</v>
      </c>
      <c r="AH46" s="153">
        <v>74740</v>
      </c>
      <c r="AI46" s="153">
        <v>74758</v>
      </c>
      <c r="AJ46" s="153">
        <v>74762</v>
      </c>
    </row>
    <row r="47" spans="1:36">
      <c r="B47" s="30" t="s">
        <v>49</v>
      </c>
      <c r="C47" s="149"/>
      <c r="D47" s="39"/>
      <c r="E47" s="39"/>
      <c r="F47" s="149"/>
      <c r="G47" s="149"/>
      <c r="H47" s="152"/>
      <c r="I47" s="145"/>
      <c r="K47" s="45"/>
      <c r="L47" s="45"/>
      <c r="M47" s="45"/>
      <c r="N47" s="45"/>
      <c r="O47" s="45"/>
      <c r="S47" s="13"/>
      <c r="U47" s="13"/>
      <c r="AG47" s="153"/>
      <c r="AH47" t="s">
        <v>232</v>
      </c>
      <c r="AI47" t="s">
        <v>104</v>
      </c>
      <c r="AJ47" t="s">
        <v>104</v>
      </c>
    </row>
    <row r="48" spans="1:36">
      <c r="B48" s="83" t="s">
        <v>233</v>
      </c>
      <c r="C48" s="31">
        <v>44936</v>
      </c>
      <c r="D48" s="31">
        <v>44972</v>
      </c>
      <c r="E48" s="31">
        <v>45001</v>
      </c>
      <c r="F48" s="32">
        <v>45034</v>
      </c>
      <c r="G48" s="31">
        <v>45069</v>
      </c>
      <c r="H48" s="31">
        <v>45102</v>
      </c>
      <c r="I48" s="31">
        <v>45120</v>
      </c>
      <c r="J48" s="32">
        <v>45176</v>
      </c>
      <c r="K48" s="32">
        <v>45209</v>
      </c>
      <c r="L48" s="32">
        <v>45271</v>
      </c>
      <c r="M48" s="33">
        <v>45295</v>
      </c>
      <c r="N48" s="33" t="s">
        <v>6</v>
      </c>
      <c r="O48" s="33" t="s">
        <v>7</v>
      </c>
      <c r="P48" s="33" t="s">
        <v>8</v>
      </c>
      <c r="Q48" s="33" t="s">
        <v>9</v>
      </c>
      <c r="R48" s="33" t="s">
        <v>10</v>
      </c>
      <c r="S48" s="13"/>
      <c r="T48" s="33" t="s">
        <v>12</v>
      </c>
      <c r="V48" s="33" t="s">
        <v>13</v>
      </c>
      <c r="W48" s="35" t="s">
        <v>14</v>
      </c>
      <c r="X48" s="35" t="s">
        <v>15</v>
      </c>
      <c r="Y48" s="35" t="s">
        <v>16</v>
      </c>
      <c r="Z48" s="35" t="s">
        <v>17</v>
      </c>
      <c r="AA48" s="35" t="s">
        <v>18</v>
      </c>
      <c r="AC48" s="35" t="s">
        <v>20</v>
      </c>
      <c r="AD48" s="35" t="s">
        <v>21</v>
      </c>
      <c r="AE48" s="35" t="s">
        <v>22</v>
      </c>
      <c r="AF48" s="36" t="s">
        <v>23</v>
      </c>
      <c r="AG48" s="35" t="s">
        <v>24</v>
      </c>
      <c r="AH48" s="37" t="s">
        <v>25</v>
      </c>
      <c r="AI48" s="37" t="s">
        <v>26</v>
      </c>
      <c r="AJ48" s="37" t="s">
        <v>27</v>
      </c>
    </row>
    <row r="49" spans="2:36">
      <c r="B49" s="30" t="s">
        <v>582</v>
      </c>
      <c r="C49" s="145" t="s">
        <v>53</v>
      </c>
      <c r="D49" s="39"/>
      <c r="E49" s="39"/>
      <c r="F49" s="149" t="s">
        <v>192</v>
      </c>
      <c r="G49" s="149" t="s">
        <v>234</v>
      </c>
      <c r="H49" s="145" t="s">
        <v>235</v>
      </c>
      <c r="I49" s="145" t="s">
        <v>236</v>
      </c>
      <c r="K49" s="4"/>
      <c r="L49" s="14" t="s">
        <v>237</v>
      </c>
      <c r="M49" s="4" t="s">
        <v>238</v>
      </c>
      <c r="N49" s="14" t="s">
        <v>200</v>
      </c>
      <c r="O49" s="4" t="s">
        <v>239</v>
      </c>
      <c r="P49" t="s">
        <v>240</v>
      </c>
      <c r="Q49" t="s">
        <v>241</v>
      </c>
      <c r="R49" s="4"/>
      <c r="S49" s="13"/>
      <c r="V49" s="13" t="s">
        <v>242</v>
      </c>
      <c r="W49" s="13" t="s">
        <v>242</v>
      </c>
      <c r="X49" t="s">
        <v>243</v>
      </c>
      <c r="Y49" t="s">
        <v>244</v>
      </c>
      <c r="Z49" t="s">
        <v>242</v>
      </c>
      <c r="AA49" t="s">
        <v>245</v>
      </c>
      <c r="AC49" t="s">
        <v>246</v>
      </c>
      <c r="AD49" t="s">
        <v>247</v>
      </c>
      <c r="AE49" t="s">
        <v>235</v>
      </c>
      <c r="AF49" t="s">
        <v>248</v>
      </c>
      <c r="AG49" s="80" t="s">
        <v>249</v>
      </c>
      <c r="AH49" s="80" t="s">
        <v>250</v>
      </c>
      <c r="AI49" s="80" t="s">
        <v>251</v>
      </c>
      <c r="AJ49" s="80" t="s">
        <v>252</v>
      </c>
    </row>
    <row r="50" spans="2:36">
      <c r="B50" s="100" t="s">
        <v>30</v>
      </c>
      <c r="C50" s="86"/>
      <c r="D50" s="39"/>
      <c r="E50" s="39"/>
      <c r="F50" s="86"/>
      <c r="G50" s="86"/>
      <c r="H50" s="86" t="s">
        <v>253</v>
      </c>
      <c r="I50" s="86"/>
      <c r="K50" s="14"/>
      <c r="L50" s="14"/>
      <c r="M50" s="14"/>
      <c r="N50" s="14"/>
      <c r="O50" s="14"/>
      <c r="S50" s="13"/>
      <c r="T50" t="s">
        <v>254</v>
      </c>
      <c r="U50" s="13"/>
      <c r="V50" t="s">
        <v>255</v>
      </c>
      <c r="W50" t="s">
        <v>256</v>
      </c>
      <c r="X50" t="s">
        <v>53</v>
      </c>
      <c r="Y50" t="s">
        <v>257</v>
      </c>
      <c r="Z50" t="s">
        <v>258</v>
      </c>
      <c r="AA50" t="s">
        <v>259</v>
      </c>
      <c r="AC50" t="s">
        <v>260</v>
      </c>
      <c r="AD50" t="s">
        <v>261</v>
      </c>
      <c r="AE50" t="s">
        <v>262</v>
      </c>
      <c r="AF50" t="s">
        <v>263</v>
      </c>
      <c r="AG50" t="s">
        <v>264</v>
      </c>
      <c r="AH50" t="s">
        <v>265</v>
      </c>
      <c r="AI50" t="s">
        <v>266</v>
      </c>
      <c r="AJ50" t="s">
        <v>267</v>
      </c>
    </row>
    <row r="51" spans="2:36">
      <c r="B51" s="30" t="s">
        <v>31</v>
      </c>
      <c r="C51" s="145" t="s">
        <v>53</v>
      </c>
      <c r="D51" s="39"/>
      <c r="E51" s="39"/>
      <c r="F51" s="145" t="s">
        <v>53</v>
      </c>
      <c r="G51" s="145" t="s">
        <v>53</v>
      </c>
      <c r="H51" s="145" t="s">
        <v>53</v>
      </c>
      <c r="I51" s="145" t="s">
        <v>53</v>
      </c>
      <c r="K51" s="4" t="s">
        <v>53</v>
      </c>
      <c r="L51" s="14" t="s">
        <v>53</v>
      </c>
      <c r="M51" s="4" t="s">
        <v>53</v>
      </c>
      <c r="N51" s="14"/>
      <c r="O51" s="4"/>
      <c r="S51" s="13"/>
      <c r="U51" s="13"/>
      <c r="X51" s="69" t="s">
        <v>53</v>
      </c>
      <c r="Y51" t="s">
        <v>268</v>
      </c>
      <c r="Z51" t="s">
        <v>269</v>
      </c>
      <c r="AA51" t="s">
        <v>270</v>
      </c>
      <c r="AC51" t="s">
        <v>271</v>
      </c>
      <c r="AD51" t="s">
        <v>272</v>
      </c>
      <c r="AE51" t="s">
        <v>273</v>
      </c>
      <c r="AF51" t="s">
        <v>274</v>
      </c>
      <c r="AG51" t="s">
        <v>275</v>
      </c>
      <c r="AH51" s="80" t="s">
        <v>276</v>
      </c>
      <c r="AI51" s="80" t="s">
        <v>277</v>
      </c>
      <c r="AJ51" s="80" t="s">
        <v>278</v>
      </c>
    </row>
    <row r="52" spans="2:36">
      <c r="B52" s="30" t="s">
        <v>32</v>
      </c>
      <c r="C52" s="40">
        <v>38347</v>
      </c>
      <c r="D52" s="39"/>
      <c r="E52" s="39"/>
      <c r="F52" s="145" t="s">
        <v>219</v>
      </c>
      <c r="G52" s="145" t="s">
        <v>279</v>
      </c>
      <c r="H52" s="145" t="s">
        <v>280</v>
      </c>
      <c r="I52" s="145" t="s">
        <v>280</v>
      </c>
      <c r="K52" s="4" t="s">
        <v>281</v>
      </c>
      <c r="L52" s="14" t="s">
        <v>282</v>
      </c>
      <c r="M52" s="4" t="s">
        <v>33</v>
      </c>
      <c r="N52" s="14"/>
      <c r="O52" s="4"/>
      <c r="Q52" s="146" t="s">
        <v>217</v>
      </c>
      <c r="R52" t="s">
        <v>283</v>
      </c>
      <c r="S52" s="13"/>
      <c r="T52" t="s">
        <v>284</v>
      </c>
      <c r="U52" s="13"/>
      <c r="V52" t="s">
        <v>285</v>
      </c>
      <c r="W52" t="s">
        <v>286</v>
      </c>
      <c r="X52" s="151" t="s">
        <v>287</v>
      </c>
      <c r="Y52" t="s">
        <v>288</v>
      </c>
      <c r="Z52" t="s">
        <v>289</v>
      </c>
      <c r="AA52" t="s">
        <v>290</v>
      </c>
      <c r="AC52" t="s">
        <v>291</v>
      </c>
      <c r="AD52" t="s">
        <v>292</v>
      </c>
      <c r="AE52" t="s">
        <v>293</v>
      </c>
      <c r="AF52" t="s">
        <v>294</v>
      </c>
      <c r="AG52" t="s">
        <v>295</v>
      </c>
      <c r="AH52" s="80" t="s">
        <v>296</v>
      </c>
      <c r="AI52" s="80" t="s">
        <v>297</v>
      </c>
      <c r="AJ52" s="80" t="s">
        <v>298</v>
      </c>
    </row>
    <row r="53" spans="2:36">
      <c r="B53" s="30" t="s">
        <v>52</v>
      </c>
      <c r="C53" s="40">
        <v>602000</v>
      </c>
      <c r="D53" s="39"/>
      <c r="E53" s="39"/>
      <c r="F53" s="145" t="s">
        <v>220</v>
      </c>
      <c r="G53" s="145" t="s">
        <v>299</v>
      </c>
      <c r="H53" s="145" t="s">
        <v>299</v>
      </c>
      <c r="I53" s="145" t="s">
        <v>299</v>
      </c>
      <c r="K53" s="4" t="s">
        <v>300</v>
      </c>
      <c r="L53" s="14" t="s">
        <v>218</v>
      </c>
      <c r="M53" s="4" t="s">
        <v>301</v>
      </c>
      <c r="N53" s="14" t="s">
        <v>302</v>
      </c>
      <c r="O53" s="4" t="s">
        <v>303</v>
      </c>
      <c r="P53" t="s">
        <v>304</v>
      </c>
      <c r="Q53" t="s">
        <v>305</v>
      </c>
      <c r="R53" t="s">
        <v>306</v>
      </c>
      <c r="S53" s="13"/>
      <c r="T53" t="s">
        <v>302</v>
      </c>
      <c r="U53" s="13"/>
      <c r="V53" t="s">
        <v>302</v>
      </c>
      <c r="W53" s="23" t="s">
        <v>279</v>
      </c>
      <c r="X53" t="s">
        <v>307</v>
      </c>
      <c r="Y53" t="s">
        <v>279</v>
      </c>
      <c r="Z53" t="s">
        <v>302</v>
      </c>
      <c r="AA53" t="s">
        <v>302</v>
      </c>
      <c r="AC53" t="s">
        <v>308</v>
      </c>
      <c r="AD53" t="s">
        <v>306</v>
      </c>
      <c r="AE53" t="s">
        <v>304</v>
      </c>
      <c r="AF53" t="s">
        <v>309</v>
      </c>
      <c r="AG53" t="s">
        <v>310</v>
      </c>
      <c r="AH53" t="s">
        <v>310</v>
      </c>
      <c r="AI53" t="s">
        <v>311</v>
      </c>
      <c r="AJ53" t="s">
        <v>311</v>
      </c>
    </row>
    <row r="54" spans="2:36">
      <c r="B54" s="30" t="s">
        <v>34</v>
      </c>
      <c r="C54" s="40">
        <v>875865</v>
      </c>
      <c r="D54" s="39"/>
      <c r="E54" s="39"/>
      <c r="F54" s="145" t="s">
        <v>312</v>
      </c>
      <c r="G54" s="145" t="s">
        <v>313</v>
      </c>
      <c r="H54" s="145" t="s">
        <v>314</v>
      </c>
      <c r="I54" s="145" t="s">
        <v>314</v>
      </c>
      <c r="K54" s="4" t="s">
        <v>315</v>
      </c>
      <c r="L54" s="14" t="s">
        <v>253</v>
      </c>
      <c r="M54" s="4" t="s">
        <v>316</v>
      </c>
      <c r="N54" s="14" t="s">
        <v>317</v>
      </c>
      <c r="O54" s="4" t="s">
        <v>317</v>
      </c>
      <c r="P54" t="s">
        <v>318</v>
      </c>
      <c r="Q54" t="s">
        <v>319</v>
      </c>
      <c r="R54" t="s">
        <v>320</v>
      </c>
      <c r="S54" s="13"/>
      <c r="T54" t="s">
        <v>321</v>
      </c>
      <c r="U54" s="13"/>
      <c r="V54" t="s">
        <v>322</v>
      </c>
      <c r="W54" t="s">
        <v>322</v>
      </c>
      <c r="X54" t="s">
        <v>323</v>
      </c>
      <c r="Y54" t="s">
        <v>315</v>
      </c>
      <c r="Z54" t="s">
        <v>323</v>
      </c>
      <c r="AA54" t="s">
        <v>282</v>
      </c>
      <c r="AC54" t="s">
        <v>324</v>
      </c>
      <c r="AD54" t="s">
        <v>325</v>
      </c>
      <c r="AE54" t="s">
        <v>188</v>
      </c>
      <c r="AF54" t="s">
        <v>188</v>
      </c>
      <c r="AG54" t="s">
        <v>188</v>
      </c>
      <c r="AH54" t="s">
        <v>326</v>
      </c>
      <c r="AI54" t="s">
        <v>327</v>
      </c>
      <c r="AJ54" t="s">
        <v>245</v>
      </c>
    </row>
    <row r="55" spans="2:36" hidden="1">
      <c r="B55" s="116" t="s">
        <v>36</v>
      </c>
      <c r="C55" s="39"/>
      <c r="D55" s="39"/>
      <c r="E55" s="39"/>
      <c r="F55" s="145" t="s">
        <v>328</v>
      </c>
      <c r="G55" s="154" t="s">
        <v>328</v>
      </c>
      <c r="H55" s="155" t="s">
        <v>328</v>
      </c>
      <c r="I55" s="155" t="s">
        <v>328</v>
      </c>
      <c r="K55" s="4"/>
      <c r="L55" s="14" t="s">
        <v>328</v>
      </c>
      <c r="M55" s="4" t="s">
        <v>328</v>
      </c>
      <c r="N55" s="75" t="s">
        <v>329</v>
      </c>
      <c r="O55" s="4" t="s">
        <v>330</v>
      </c>
      <c r="P55" s="14" t="s">
        <v>331</v>
      </c>
      <c r="Q55" s="14" t="s">
        <v>329</v>
      </c>
      <c r="R55" t="s">
        <v>332</v>
      </c>
      <c r="S55" s="13"/>
      <c r="U55" s="13"/>
    </row>
    <row r="56" spans="2:36">
      <c r="B56" s="30" t="s">
        <v>37</v>
      </c>
      <c r="C56" s="39"/>
      <c r="D56" s="39"/>
      <c r="E56" s="39"/>
      <c r="F56" s="145" t="s">
        <v>333</v>
      </c>
      <c r="G56" s="145" t="s">
        <v>334</v>
      </c>
      <c r="H56" s="145" t="s">
        <v>334</v>
      </c>
      <c r="I56" s="145" t="s">
        <v>334</v>
      </c>
      <c r="K56" s="4" t="s">
        <v>310</v>
      </c>
      <c r="L56" s="14" t="s">
        <v>283</v>
      </c>
      <c r="M56" s="4" t="s">
        <v>245</v>
      </c>
      <c r="N56" s="14" t="s">
        <v>326</v>
      </c>
      <c r="O56" s="4" t="s">
        <v>335</v>
      </c>
      <c r="P56" t="s">
        <v>336</v>
      </c>
      <c r="Q56" t="s">
        <v>337</v>
      </c>
      <c r="R56" t="s">
        <v>338</v>
      </c>
      <c r="S56" s="13"/>
      <c r="T56" t="s">
        <v>247</v>
      </c>
      <c r="U56" s="13"/>
      <c r="V56" t="s">
        <v>339</v>
      </c>
      <c r="W56" s="23" t="s">
        <v>186</v>
      </c>
      <c r="X56" t="s">
        <v>340</v>
      </c>
      <c r="Y56" t="s">
        <v>237</v>
      </c>
      <c r="Z56" t="s">
        <v>341</v>
      </c>
      <c r="AA56" t="s">
        <v>341</v>
      </c>
      <c r="AC56" t="s">
        <v>342</v>
      </c>
      <c r="AD56" s="81" t="s">
        <v>234</v>
      </c>
      <c r="AG56" t="s">
        <v>234</v>
      </c>
      <c r="AH56" t="s">
        <v>234</v>
      </c>
      <c r="AI56" t="s">
        <v>343</v>
      </c>
      <c r="AJ56" s="80" t="s">
        <v>344</v>
      </c>
    </row>
    <row r="57" spans="2:36">
      <c r="B57" s="30" t="s">
        <v>41</v>
      </c>
      <c r="C57" s="39"/>
      <c r="D57" s="39"/>
      <c r="E57" s="39"/>
      <c r="F57" s="145" t="s">
        <v>329</v>
      </c>
      <c r="G57" s="150" t="s">
        <v>329</v>
      </c>
      <c r="H57" s="145" t="s">
        <v>223</v>
      </c>
      <c r="I57" s="145" t="s">
        <v>223</v>
      </c>
      <c r="K57" s="4"/>
      <c r="L57" s="14" t="s">
        <v>345</v>
      </c>
      <c r="M57" s="4" t="s">
        <v>345</v>
      </c>
      <c r="N57" s="14"/>
      <c r="O57" s="4" t="s">
        <v>346</v>
      </c>
      <c r="P57" s="14" t="s">
        <v>346</v>
      </c>
      <c r="Q57" t="s">
        <v>346</v>
      </c>
      <c r="R57" t="s">
        <v>347</v>
      </c>
      <c r="S57" s="13"/>
      <c r="T57" t="s">
        <v>348</v>
      </c>
      <c r="U57" s="13"/>
      <c r="V57" t="s">
        <v>349</v>
      </c>
      <c r="W57" t="s">
        <v>349</v>
      </c>
      <c r="X57" t="s">
        <v>350</v>
      </c>
      <c r="Y57" t="s">
        <v>351</v>
      </c>
      <c r="Z57" t="s">
        <v>351</v>
      </c>
      <c r="AA57" t="s">
        <v>351</v>
      </c>
      <c r="AC57" t="s">
        <v>352</v>
      </c>
      <c r="AD57" s="80" t="s">
        <v>352</v>
      </c>
      <c r="AG57" t="s">
        <v>42</v>
      </c>
      <c r="AH57" t="s">
        <v>42</v>
      </c>
      <c r="AI57" t="s">
        <v>43</v>
      </c>
    </row>
    <row r="58" spans="2:36">
      <c r="B58" s="30" t="s">
        <v>44</v>
      </c>
      <c r="C58" s="39"/>
      <c r="D58" s="39"/>
      <c r="E58" s="39"/>
      <c r="F58" s="149"/>
      <c r="G58" s="149"/>
      <c r="H58" s="149"/>
      <c r="I58" s="149"/>
      <c r="L58" t="s">
        <v>53</v>
      </c>
      <c r="M58" t="s">
        <v>53</v>
      </c>
      <c r="S58" s="13"/>
      <c r="U58" s="13"/>
      <c r="W58" s="23" t="s">
        <v>353</v>
      </c>
      <c r="X58" s="151" t="s">
        <v>354</v>
      </c>
      <c r="Y58" s="151" t="s">
        <v>353</v>
      </c>
      <c r="Z58" s="151" t="s">
        <v>353</v>
      </c>
      <c r="AA58" s="151"/>
      <c r="AC58" t="s">
        <v>355</v>
      </c>
      <c r="AD58" t="s">
        <v>354</v>
      </c>
      <c r="AE58" t="s">
        <v>354</v>
      </c>
      <c r="AG58" t="s">
        <v>356</v>
      </c>
      <c r="AH58" t="s">
        <v>356</v>
      </c>
      <c r="AI58" t="s">
        <v>45</v>
      </c>
      <c r="AJ58" t="s">
        <v>45</v>
      </c>
    </row>
    <row r="59" spans="2:36" hidden="1">
      <c r="B59" s="100" t="s">
        <v>46</v>
      </c>
      <c r="C59" s="39"/>
      <c r="D59" s="39"/>
      <c r="E59" s="39"/>
      <c r="F59" s="149"/>
      <c r="G59" s="149" t="s">
        <v>357</v>
      </c>
      <c r="H59" s="86" t="s">
        <v>358</v>
      </c>
      <c r="I59" s="86" t="s">
        <v>359</v>
      </c>
      <c r="K59" s="14"/>
      <c r="L59" s="14" t="s">
        <v>360</v>
      </c>
      <c r="M59" s="14" t="s">
        <v>361</v>
      </c>
      <c r="N59" s="14"/>
      <c r="O59" s="14" t="s">
        <v>362</v>
      </c>
      <c r="P59" s="14" t="s">
        <v>362</v>
      </c>
      <c r="Q59" t="s">
        <v>362</v>
      </c>
      <c r="S59" s="13"/>
      <c r="U59" s="13"/>
    </row>
    <row r="60" spans="2:36">
      <c r="B60" s="30" t="s">
        <v>47</v>
      </c>
      <c r="C60" s="39"/>
      <c r="D60" s="39"/>
      <c r="E60" s="39"/>
      <c r="F60" s="149"/>
      <c r="G60" s="149" t="s">
        <v>363</v>
      </c>
      <c r="H60" s="152" t="s">
        <v>363</v>
      </c>
      <c r="I60" s="145" t="s">
        <v>364</v>
      </c>
      <c r="K60" s="45"/>
      <c r="L60" s="45"/>
      <c r="M60" s="45"/>
      <c r="N60" s="45"/>
      <c r="O60" s="45"/>
      <c r="S60" s="13"/>
      <c r="U60" s="13"/>
      <c r="AG60">
        <v>3</v>
      </c>
      <c r="AH60">
        <v>7</v>
      </c>
      <c r="AI60">
        <v>433</v>
      </c>
      <c r="AJ60">
        <v>411</v>
      </c>
    </row>
    <row r="61" spans="2:36">
      <c r="B61" s="30" t="s">
        <v>49</v>
      </c>
      <c r="C61" s="39"/>
      <c r="D61" s="39"/>
      <c r="E61" s="39"/>
      <c r="F61" s="149"/>
      <c r="G61" s="149"/>
      <c r="H61" s="152"/>
      <c r="I61" s="145"/>
      <c r="K61" s="45"/>
      <c r="L61" s="45"/>
      <c r="M61" s="45"/>
      <c r="N61" s="45"/>
      <c r="O61" s="45"/>
      <c r="S61" s="13"/>
      <c r="U61" s="13"/>
      <c r="AH61" t="s">
        <v>330</v>
      </c>
      <c r="AI61" t="s">
        <v>215</v>
      </c>
      <c r="AJ61" t="s">
        <v>215</v>
      </c>
    </row>
    <row r="62" spans="2:36">
      <c r="J62" s="24"/>
      <c r="S62" s="13"/>
      <c r="U62" s="13"/>
    </row>
    <row r="63" spans="2:36">
      <c r="J63" s="24"/>
      <c r="S63" s="13"/>
      <c r="U63" s="13"/>
    </row>
    <row r="64" spans="2:36">
      <c r="S64" s="13"/>
      <c r="U64" s="13"/>
    </row>
    <row r="65" spans="19:21">
      <c r="S65" s="13"/>
      <c r="U65" s="13"/>
    </row>
    <row r="66" spans="19:21">
      <c r="S66" s="13"/>
      <c r="U66" s="13"/>
    </row>
    <row r="67" spans="19:21">
      <c r="S67" s="13"/>
      <c r="U67" s="13"/>
    </row>
    <row r="68" spans="19:21">
      <c r="S68" s="13"/>
      <c r="U68" s="13"/>
    </row>
    <row r="69" spans="19:21">
      <c r="S69" s="13"/>
      <c r="U69" s="13"/>
    </row>
    <row r="70" spans="19:21">
      <c r="S70" s="13"/>
      <c r="U70" s="13"/>
    </row>
    <row r="71" spans="19:21">
      <c r="S71" s="13"/>
      <c r="U71" s="13"/>
    </row>
    <row r="72" spans="19:21">
      <c r="S72" s="13"/>
      <c r="U72" s="13"/>
    </row>
    <row r="73" spans="19:21">
      <c r="S73" s="13"/>
      <c r="U73" s="13"/>
    </row>
    <row r="74" spans="19:21">
      <c r="S74" s="13"/>
      <c r="U74" s="13"/>
    </row>
    <row r="75" spans="19:21">
      <c r="S75" s="13"/>
      <c r="U75" s="13"/>
    </row>
    <row r="76" spans="19:21">
      <c r="S76" s="13"/>
      <c r="U76" s="13"/>
    </row>
    <row r="77" spans="19:21">
      <c r="S77" s="13"/>
      <c r="U77" s="13"/>
    </row>
    <row r="78" spans="19:21">
      <c r="S78" s="13"/>
      <c r="U78" s="13"/>
    </row>
    <row r="79" spans="19:21">
      <c r="S79" s="13"/>
      <c r="U79" s="13"/>
    </row>
    <row r="80" spans="19:21">
      <c r="S80" s="13"/>
      <c r="U80" s="13"/>
    </row>
    <row r="81" spans="19:21">
      <c r="S81" s="13"/>
      <c r="U81" s="13"/>
    </row>
    <row r="82" spans="19:21">
      <c r="S82" s="13"/>
      <c r="U82" s="13"/>
    </row>
    <row r="83" spans="19:21">
      <c r="S83" s="13"/>
      <c r="U83" s="13"/>
    </row>
    <row r="84" spans="19:21">
      <c r="S84" s="13"/>
      <c r="U84" s="13"/>
    </row>
    <row r="85" spans="19:21">
      <c r="S85" s="13"/>
      <c r="U85" s="13"/>
    </row>
    <row r="86" spans="19:21">
      <c r="S86" s="13"/>
      <c r="U86" s="13"/>
    </row>
    <row r="87" spans="19:21">
      <c r="S87" s="13"/>
      <c r="U87" s="13"/>
    </row>
    <row r="88" spans="19:21">
      <c r="S88" s="13"/>
      <c r="U88" s="13"/>
    </row>
    <row r="89" spans="19:21">
      <c r="S89" s="13"/>
      <c r="U89" s="13"/>
    </row>
    <row r="90" spans="19:21">
      <c r="S90" s="13"/>
      <c r="U90" s="13"/>
    </row>
    <row r="91" spans="19:21">
      <c r="S91" s="13"/>
      <c r="U91" s="13"/>
    </row>
    <row r="92" spans="19:21">
      <c r="S92" s="13"/>
      <c r="U92" s="13"/>
    </row>
    <row r="93" spans="19:21">
      <c r="S93" s="13"/>
      <c r="U93" s="13"/>
    </row>
    <row r="94" spans="19:21">
      <c r="S94" s="13"/>
      <c r="U94" s="13"/>
    </row>
    <row r="95" spans="19:21">
      <c r="S95" s="13"/>
      <c r="U95" s="13"/>
    </row>
    <row r="96" spans="19:21">
      <c r="S96" s="13"/>
      <c r="U96" s="13"/>
    </row>
    <row r="97" spans="19:21">
      <c r="S97" s="13"/>
      <c r="U97" s="13"/>
    </row>
    <row r="98" spans="19:21">
      <c r="S98" s="13"/>
      <c r="U98" s="13"/>
    </row>
    <row r="99" spans="19:21">
      <c r="S99" s="13"/>
      <c r="U99" s="13"/>
    </row>
    <row r="100" spans="19:21">
      <c r="S100" s="13"/>
      <c r="U100" s="13"/>
    </row>
    <row r="101" spans="19:21">
      <c r="S101" s="13"/>
      <c r="U101" s="13"/>
    </row>
    <row r="102" spans="19:21">
      <c r="S102" s="13"/>
      <c r="U102" s="13"/>
    </row>
    <row r="103" spans="19:21">
      <c r="S103" s="13"/>
      <c r="U103" s="13"/>
    </row>
    <row r="104" spans="19:21">
      <c r="S104" s="13"/>
      <c r="U104" s="13"/>
    </row>
    <row r="105" spans="19:21">
      <c r="S105" s="13"/>
      <c r="U105" s="13"/>
    </row>
    <row r="106" spans="19:21">
      <c r="S106" s="13"/>
      <c r="U106" s="13"/>
    </row>
    <row r="107" spans="19:21">
      <c r="S107" s="13"/>
      <c r="U107" s="13"/>
    </row>
    <row r="108" spans="19:21">
      <c r="S108" s="13"/>
      <c r="U108" s="13"/>
    </row>
    <row r="109" spans="19:21">
      <c r="S109" s="13"/>
      <c r="U109" s="13"/>
    </row>
    <row r="110" spans="19:21">
      <c r="S110" s="13"/>
      <c r="U110" s="13"/>
    </row>
    <row r="111" spans="19:21">
      <c r="S111" s="13"/>
      <c r="U111" s="13"/>
    </row>
    <row r="112" spans="19:21">
      <c r="S112" s="13"/>
      <c r="U112" s="13"/>
    </row>
    <row r="113" spans="19:21">
      <c r="S113" s="13"/>
      <c r="U113" s="13"/>
    </row>
    <row r="114" spans="19:21">
      <c r="S114" s="13"/>
      <c r="U114" s="13"/>
    </row>
    <row r="115" spans="19:21">
      <c r="S115" s="13"/>
      <c r="U115" s="13"/>
    </row>
    <row r="116" spans="19:21">
      <c r="S116" s="13"/>
      <c r="U116" s="13"/>
    </row>
    <row r="117" spans="19:21">
      <c r="S117" s="13"/>
      <c r="U117" s="13"/>
    </row>
    <row r="118" spans="19:21">
      <c r="S118" s="13"/>
      <c r="U118" s="13"/>
    </row>
    <row r="119" spans="19:21">
      <c r="S119" s="13"/>
      <c r="U119" s="13"/>
    </row>
    <row r="120" spans="19:21">
      <c r="S120" s="13"/>
      <c r="U120" s="13"/>
    </row>
    <row r="121" spans="19:21">
      <c r="S121" s="13"/>
      <c r="U121" s="13"/>
    </row>
    <row r="122" spans="19:21">
      <c r="S122" s="13"/>
      <c r="U122" s="13"/>
    </row>
    <row r="123" spans="19:21">
      <c r="S123" s="13"/>
      <c r="U123" s="13"/>
    </row>
    <row r="124" spans="19:21">
      <c r="S124" s="13"/>
      <c r="U124" s="13"/>
    </row>
    <row r="125" spans="19:21">
      <c r="S125" s="13"/>
      <c r="U125" s="13"/>
    </row>
    <row r="126" spans="19:21">
      <c r="S126" s="13"/>
      <c r="U126" s="13"/>
    </row>
    <row r="127" spans="19:21">
      <c r="S127" s="13"/>
      <c r="U127" s="13"/>
    </row>
    <row r="128" spans="19:21">
      <c r="S128" s="13"/>
      <c r="U128" s="13"/>
    </row>
    <row r="129" spans="19:21">
      <c r="S129" s="13"/>
      <c r="U129" s="13"/>
    </row>
    <row r="130" spans="19:21">
      <c r="S130" s="13"/>
      <c r="U130" s="13"/>
    </row>
    <row r="131" spans="19:21">
      <c r="S131" s="13"/>
      <c r="U131" s="13"/>
    </row>
    <row r="132" spans="19:21">
      <c r="S132" s="13"/>
      <c r="U132" s="13"/>
    </row>
    <row r="133" spans="19:21">
      <c r="S133" s="13"/>
      <c r="U133" s="13"/>
    </row>
    <row r="134" spans="19:21">
      <c r="S134" s="13"/>
      <c r="U134" s="13"/>
    </row>
    <row r="135" spans="19:21">
      <c r="S135" s="13"/>
      <c r="U135" s="13"/>
    </row>
    <row r="136" spans="19:21">
      <c r="S136" s="13"/>
      <c r="U136" s="13"/>
    </row>
    <row r="137" spans="19:21">
      <c r="S137" s="13"/>
      <c r="U137" s="13"/>
    </row>
    <row r="138" spans="19:21">
      <c r="S138" s="13"/>
      <c r="U138" s="13"/>
    </row>
    <row r="139" spans="19:21">
      <c r="S139" s="13"/>
      <c r="U139" s="13"/>
    </row>
    <row r="140" spans="19:21">
      <c r="S140" s="13"/>
      <c r="U140" s="13"/>
    </row>
    <row r="141" spans="19:21">
      <c r="S141" s="13"/>
      <c r="U141" s="13"/>
    </row>
    <row r="142" spans="19:21">
      <c r="S142" s="13"/>
      <c r="U142" s="13"/>
    </row>
    <row r="143" spans="19:21">
      <c r="S143" s="13"/>
      <c r="U143" s="13"/>
    </row>
    <row r="144" spans="19:21">
      <c r="S144" s="13"/>
      <c r="U144" s="13"/>
    </row>
    <row r="145" spans="19:21">
      <c r="S145" s="13"/>
      <c r="U145" s="13"/>
    </row>
    <row r="146" spans="19:21">
      <c r="S146" s="13"/>
      <c r="U146" s="13"/>
    </row>
    <row r="147" spans="19:21">
      <c r="S147" s="13"/>
      <c r="U147" s="13"/>
    </row>
    <row r="148" spans="19:21">
      <c r="S148" s="13"/>
      <c r="U148" s="13"/>
    </row>
    <row r="149" spans="19:21">
      <c r="S149" s="13"/>
      <c r="U149" s="13"/>
    </row>
    <row r="150" spans="19:21">
      <c r="S150" s="13"/>
      <c r="U150" s="13"/>
    </row>
    <row r="151" spans="19:21">
      <c r="S151" s="13"/>
      <c r="U151" s="13"/>
    </row>
    <row r="152" spans="19:21">
      <c r="S152" s="13"/>
      <c r="U152" s="13"/>
    </row>
    <row r="153" spans="19:21">
      <c r="S153" s="13"/>
      <c r="U153" s="13"/>
    </row>
    <row r="154" spans="19:21">
      <c r="S154" s="13"/>
      <c r="U154" s="13"/>
    </row>
    <row r="155" spans="19:21">
      <c r="S155" s="13"/>
      <c r="U155" s="13"/>
    </row>
    <row r="156" spans="19:21">
      <c r="S156" s="13"/>
      <c r="U156" s="13"/>
    </row>
    <row r="157" spans="19:21">
      <c r="S157" s="13"/>
      <c r="U157" s="13"/>
    </row>
    <row r="158" spans="19:21">
      <c r="S158" s="13"/>
      <c r="U158" s="13"/>
    </row>
    <row r="159" spans="19:21">
      <c r="S159" s="13"/>
      <c r="U159" s="13"/>
    </row>
    <row r="160" spans="19:21">
      <c r="S160" s="13"/>
      <c r="U160" s="13"/>
    </row>
    <row r="161" spans="19:21">
      <c r="S161" s="13"/>
      <c r="U161" s="13"/>
    </row>
    <row r="162" spans="19:21">
      <c r="S162" s="13"/>
      <c r="U162" s="13"/>
    </row>
    <row r="163" spans="19:21">
      <c r="S163" s="13"/>
      <c r="U163" s="13"/>
    </row>
    <row r="164" spans="19:21">
      <c r="S164" s="13"/>
      <c r="U164" s="13"/>
    </row>
    <row r="165" spans="19:21">
      <c r="S165" s="13"/>
      <c r="U165" s="13"/>
    </row>
    <row r="166" spans="19:21">
      <c r="S166" s="13"/>
      <c r="U166" s="13"/>
    </row>
    <row r="167" spans="19:21">
      <c r="S167" s="13"/>
      <c r="U167" s="13"/>
    </row>
    <row r="168" spans="19:21">
      <c r="S168" s="13"/>
      <c r="U168" s="13"/>
    </row>
    <row r="169" spans="19:21">
      <c r="S169" s="13"/>
      <c r="U169" s="13"/>
    </row>
    <row r="170" spans="19:21">
      <c r="S170" s="13"/>
      <c r="U170" s="13"/>
    </row>
    <row r="171" spans="19:21">
      <c r="S171" s="13"/>
      <c r="U171" s="13"/>
    </row>
    <row r="172" spans="19:21">
      <c r="S172" s="13"/>
      <c r="U172" s="13"/>
    </row>
    <row r="173" spans="19:21">
      <c r="S173" s="13"/>
      <c r="U173" s="13"/>
    </row>
    <row r="174" spans="19:21">
      <c r="S174" s="13"/>
      <c r="U174" s="13"/>
    </row>
    <row r="175" spans="19:21">
      <c r="S175" s="13"/>
      <c r="U175" s="13"/>
    </row>
    <row r="176" spans="19:21">
      <c r="S176" s="13"/>
      <c r="U176" s="13"/>
    </row>
    <row r="177" spans="19:21">
      <c r="S177" s="13"/>
      <c r="U177" s="13"/>
    </row>
    <row r="178" spans="19:21">
      <c r="S178" s="13"/>
      <c r="U178" s="13"/>
    </row>
    <row r="179" spans="19:21">
      <c r="S179" s="13"/>
      <c r="U179" s="13"/>
    </row>
    <row r="180" spans="19:21">
      <c r="S180" s="13"/>
      <c r="U180" s="13"/>
    </row>
    <row r="181" spans="19:21">
      <c r="S181" s="13"/>
      <c r="U181" s="13"/>
    </row>
    <row r="182" spans="19:21">
      <c r="S182" s="13"/>
      <c r="U182" s="13"/>
    </row>
    <row r="183" spans="19:21">
      <c r="S183" s="13"/>
      <c r="U183" s="13"/>
    </row>
    <row r="184" spans="19:21">
      <c r="S184" s="13"/>
      <c r="U184" s="13"/>
    </row>
    <row r="185" spans="19:21">
      <c r="S185" s="13"/>
      <c r="U185" s="13"/>
    </row>
    <row r="186" spans="19:21">
      <c r="S186" s="13"/>
      <c r="U186" s="13"/>
    </row>
    <row r="187" spans="19:21">
      <c r="S187" s="13"/>
      <c r="U187" s="13"/>
    </row>
    <row r="188" spans="19:21">
      <c r="S188" s="13"/>
      <c r="U188" s="13"/>
    </row>
    <row r="189" spans="19:21">
      <c r="S189" s="13"/>
      <c r="U189" s="13"/>
    </row>
    <row r="190" spans="19:21">
      <c r="S190" s="13"/>
      <c r="U190" s="13"/>
    </row>
    <row r="191" spans="19:21">
      <c r="S191" s="13"/>
      <c r="U191" s="13"/>
    </row>
    <row r="192" spans="19:21">
      <c r="S192" s="13"/>
      <c r="U192" s="13"/>
    </row>
    <row r="193" spans="19:21">
      <c r="S193" s="13"/>
      <c r="U193" s="13"/>
    </row>
    <row r="194" spans="19:21">
      <c r="S194" s="13"/>
      <c r="U194" s="13"/>
    </row>
    <row r="195" spans="19:21">
      <c r="S195" s="13"/>
      <c r="U195" s="13"/>
    </row>
    <row r="196" spans="19:21">
      <c r="S196" s="13"/>
      <c r="U196" s="13"/>
    </row>
    <row r="197" spans="19:21">
      <c r="S197" s="13"/>
      <c r="U197" s="13"/>
    </row>
    <row r="198" spans="19:21">
      <c r="S198" s="13"/>
      <c r="U198" s="13"/>
    </row>
    <row r="199" spans="19:21">
      <c r="S199" s="13"/>
      <c r="U199" s="13"/>
    </row>
    <row r="200" spans="19:21">
      <c r="S200" s="13"/>
      <c r="U200" s="13"/>
    </row>
    <row r="201" spans="19:21">
      <c r="S201" s="13"/>
      <c r="U201" s="13"/>
    </row>
    <row r="202" spans="19:21">
      <c r="S202" s="13"/>
      <c r="U202" s="13"/>
    </row>
    <row r="203" spans="19:21">
      <c r="S203" s="13"/>
      <c r="U203" s="13"/>
    </row>
    <row r="204" spans="19:21">
      <c r="S204" s="13"/>
      <c r="U204" s="13"/>
    </row>
    <row r="205" spans="19:21">
      <c r="S205" s="13"/>
      <c r="U205" s="13"/>
    </row>
    <row r="206" spans="19:21">
      <c r="S206" s="13"/>
      <c r="U206" s="13"/>
    </row>
    <row r="207" spans="19:21">
      <c r="S207" s="13"/>
      <c r="U207" s="13"/>
    </row>
    <row r="208" spans="19:21">
      <c r="S208" s="13"/>
      <c r="U208" s="13"/>
    </row>
    <row r="209" spans="19:21">
      <c r="S209" s="13"/>
      <c r="U209" s="13"/>
    </row>
    <row r="210" spans="19:21">
      <c r="S210" s="13"/>
      <c r="U210" s="13"/>
    </row>
    <row r="211" spans="19:21">
      <c r="S211" s="13"/>
      <c r="U211" s="13"/>
    </row>
    <row r="212" spans="19:21">
      <c r="S212" s="13"/>
      <c r="U212" s="13"/>
    </row>
    <row r="213" spans="19:21">
      <c r="S213" s="13"/>
      <c r="U213" s="13"/>
    </row>
    <row r="214" spans="19:21">
      <c r="S214" s="13"/>
      <c r="U214" s="13"/>
    </row>
    <row r="215" spans="19:21">
      <c r="S215" s="13"/>
      <c r="U215" s="13"/>
    </row>
    <row r="216" spans="19:21">
      <c r="S216" s="13"/>
      <c r="U216" s="13"/>
    </row>
    <row r="217" spans="19:21">
      <c r="S217" s="13"/>
      <c r="U217" s="13"/>
    </row>
    <row r="218" spans="19:21">
      <c r="S218" s="13"/>
      <c r="U218" s="13"/>
    </row>
    <row r="219" spans="19:21">
      <c r="S219" s="13"/>
      <c r="U219" s="13"/>
    </row>
    <row r="220" spans="19:21">
      <c r="S220" s="13"/>
      <c r="U220" s="13"/>
    </row>
  </sheetData>
  <phoneticPr fontId="56" type="noConversion"/>
  <hyperlinks>
    <hyperlink ref="A7" r:id="rId1" xr:uid="{00000000-0004-0000-0000-000001000000}"/>
    <hyperlink ref="A8" r:id="rId2" location="/" xr:uid="{00000000-0004-0000-0000-000002000000}"/>
    <hyperlink ref="A9" r:id="rId3" xr:uid="{00000000-0004-0000-0000-000003000000}"/>
    <hyperlink ref="A10" r:id="rId4" xr:uid="{00000000-0004-0000-0000-000004000000}"/>
    <hyperlink ref="A11" r:id="rId5" xr:uid="{00000000-0004-0000-0000-000005000000}"/>
    <hyperlink ref="A12" r:id="rId6" xr:uid="{00000000-0004-0000-0000-000006000000}"/>
    <hyperlink ref="A13" r:id="rId7" xr:uid="{00000000-0004-0000-0000-000007000000}"/>
    <hyperlink ref="A14" r:id="rId8" xr:uid="{00000000-0004-0000-0000-000008000000}"/>
    <hyperlink ref="A15" r:id="rId9" xr:uid="{00000000-0004-0000-0000-000009000000}"/>
    <hyperlink ref="A16" r:id="rId10" xr:uid="{00000000-0004-0000-0000-00000A000000}"/>
    <hyperlink ref="A17" r:id="rId11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2P-Tadpole Tracking">
    <tabColor rgb="FF92D050"/>
  </sheetPr>
  <dimension ref="A1:G42"/>
  <sheetViews>
    <sheetView tabSelected="1" workbookViewId="0">
      <selection activeCell="C8" sqref="C8"/>
    </sheetView>
  </sheetViews>
  <sheetFormatPr defaultColWidth="13.81640625" defaultRowHeight="18" customHeight="1"/>
  <cols>
    <col min="1" max="1" width="36.1796875" style="177" customWidth="1"/>
    <col min="2" max="2" width="26.90625" style="2" customWidth="1"/>
    <col min="3" max="3" width="17.453125" style="2" customWidth="1"/>
    <col min="4" max="4" width="18" style="2" customWidth="1"/>
    <col min="5" max="6" width="18" customWidth="1"/>
    <col min="7" max="7" width="26.54296875" customWidth="1"/>
  </cols>
  <sheetData>
    <row r="1" spans="1:7">
      <c r="C1" s="16"/>
    </row>
    <row r="2" spans="1:7">
      <c r="B2" s="15" t="s">
        <v>3</v>
      </c>
      <c r="C2" s="156">
        <v>15000</v>
      </c>
    </row>
    <row r="3" spans="1:7">
      <c r="A3" s="157"/>
      <c r="B3" s="158" t="s">
        <v>5</v>
      </c>
      <c r="C3" s="159" t="s">
        <v>24</v>
      </c>
      <c r="D3" s="159" t="s">
        <v>25</v>
      </c>
      <c r="E3" s="159" t="s">
        <v>366</v>
      </c>
      <c r="F3" s="37" t="s">
        <v>27</v>
      </c>
    </row>
    <row r="4" spans="1:7">
      <c r="A4" s="160" t="s">
        <v>523</v>
      </c>
      <c r="B4" s="161" t="s">
        <v>367</v>
      </c>
      <c r="C4" s="107">
        <f>762.65/$C$2</f>
        <v>5.0843333333333331E-2</v>
      </c>
      <c r="D4" s="162">
        <f>150.84/$C$2</f>
        <v>1.0056000000000001E-2</v>
      </c>
      <c r="E4" s="163">
        <f>464.91/$C$2</f>
        <v>3.0994000000000001E-2</v>
      </c>
      <c r="F4" s="163">
        <f>464.91/$C$2</f>
        <v>3.0994000000000001E-2</v>
      </c>
    </row>
    <row r="5" spans="1:7">
      <c r="A5" s="160" t="s">
        <v>524</v>
      </c>
      <c r="B5" s="161" t="s">
        <v>368</v>
      </c>
      <c r="C5" s="131">
        <f>36.59/$C$2</f>
        <v>2.4393333333333337E-3</v>
      </c>
      <c r="D5" s="164">
        <f>204.36/$C$2</f>
        <v>1.3624000000000001E-2</v>
      </c>
      <c r="E5" s="165">
        <f>725.69/$C$2</f>
        <v>4.8379333333333337E-2</v>
      </c>
      <c r="F5" s="165">
        <f>779.15/$C$2</f>
        <v>5.1943333333333334E-2</v>
      </c>
    </row>
    <row r="6" spans="1:7">
      <c r="A6" s="160" t="s">
        <v>525</v>
      </c>
      <c r="B6" s="161" t="s">
        <v>369</v>
      </c>
      <c r="C6" s="2">
        <f>6000/$C$2</f>
        <v>0.4</v>
      </c>
      <c r="D6" s="2">
        <f>6000/$C$2</f>
        <v>0.4</v>
      </c>
      <c r="E6" s="2">
        <f>6000/$C$2</f>
        <v>0.4</v>
      </c>
      <c r="F6" s="2">
        <f>6000/$C$2</f>
        <v>0.4</v>
      </c>
    </row>
    <row r="7" spans="1:7">
      <c r="A7" s="166" t="s">
        <v>526</v>
      </c>
      <c r="B7" s="167" t="s">
        <v>370</v>
      </c>
      <c r="C7" s="168">
        <f>80.59/$C$2</f>
        <v>5.3726666666666671E-3</v>
      </c>
      <c r="D7" s="107">
        <f>372.77/$C$2</f>
        <v>2.4851333333333333E-2</v>
      </c>
      <c r="E7" s="107">
        <f>1380/$C$2</f>
        <v>9.1999999999999998E-2</v>
      </c>
      <c r="F7" s="107">
        <f>1380/$C$2</f>
        <v>9.1999999999999998E-2</v>
      </c>
    </row>
    <row r="8" spans="1:7">
      <c r="A8" s="166" t="s">
        <v>527</v>
      </c>
      <c r="B8" s="167" t="s">
        <v>371</v>
      </c>
      <c r="C8" s="107">
        <f>249.94/$C$2</f>
        <v>1.6662666666666666E-2</v>
      </c>
      <c r="D8" s="162">
        <f>868.71/$C$2</f>
        <v>5.7914E-2</v>
      </c>
      <c r="E8" s="107">
        <f>2630/$C$2</f>
        <v>0.17533333333333334</v>
      </c>
      <c r="F8" s="107">
        <f>2790/$C$2</f>
        <v>0.186</v>
      </c>
    </row>
    <row r="9" spans="1:7">
      <c r="A9" t="s">
        <v>528</v>
      </c>
      <c r="B9" s="167" t="s">
        <v>372</v>
      </c>
      <c r="C9" s="168">
        <f>135.54/$C$2</f>
        <v>9.0359999999999989E-3</v>
      </c>
      <c r="D9" s="162">
        <f>1350/$C$2</f>
        <v>0.09</v>
      </c>
      <c r="E9" s="168">
        <f>4150/$C$2</f>
        <v>0.27666666666666667</v>
      </c>
      <c r="F9" s="107">
        <f>4360/$C$2</f>
        <v>0.29066666666666668</v>
      </c>
    </row>
    <row r="10" spans="1:7">
      <c r="A10" t="s">
        <v>529</v>
      </c>
      <c r="B10" s="167" t="s">
        <v>373</v>
      </c>
      <c r="C10" s="169">
        <f>2968/$C$2</f>
        <v>0.19786666666666666</v>
      </c>
      <c r="D10" s="163">
        <f>3223/$C$2</f>
        <v>0.21486666666666668</v>
      </c>
      <c r="E10" s="163">
        <f>3949/$C$2</f>
        <v>0.26326666666666665</v>
      </c>
      <c r="F10" s="163">
        <f>4016/$C$2</f>
        <v>0.26773333333333332</v>
      </c>
      <c r="G10" t="s">
        <v>374</v>
      </c>
    </row>
    <row r="11" spans="1:7">
      <c r="A11" s="157"/>
      <c r="B11" s="158" t="s">
        <v>50</v>
      </c>
      <c r="C11" s="159" t="s">
        <v>24</v>
      </c>
      <c r="D11" s="159" t="s">
        <v>25</v>
      </c>
      <c r="E11" s="159" t="s">
        <v>366</v>
      </c>
      <c r="F11" s="37" t="s">
        <v>27</v>
      </c>
    </row>
    <row r="12" spans="1:7">
      <c r="B12" s="161" t="s">
        <v>367</v>
      </c>
      <c r="C12" s="2" t="s">
        <v>375</v>
      </c>
      <c r="D12" s="2" t="s">
        <v>375</v>
      </c>
      <c r="E12" s="2" t="s">
        <v>375</v>
      </c>
      <c r="F12" s="2" t="s">
        <v>375</v>
      </c>
    </row>
    <row r="13" spans="1:7">
      <c r="B13" s="161" t="s">
        <v>368</v>
      </c>
      <c r="C13" s="131">
        <f>139.59/$C$2</f>
        <v>9.306E-3</v>
      </c>
      <c r="D13" s="131">
        <f>148.96/$C$2</f>
        <v>9.9306666666666675E-3</v>
      </c>
      <c r="E13" s="131">
        <f>205.48/$C$2</f>
        <v>1.3698666666666666E-2</v>
      </c>
      <c r="F13" s="131">
        <f>205.16/$C$2</f>
        <v>1.3677333333333333E-2</v>
      </c>
    </row>
    <row r="14" spans="1:7">
      <c r="B14" s="161" t="s">
        <v>369</v>
      </c>
      <c r="C14" s="131">
        <f>886/$C$2</f>
        <v>5.906666666666667E-2</v>
      </c>
      <c r="D14" s="131">
        <f>886/$C$2</f>
        <v>5.906666666666667E-2</v>
      </c>
      <c r="E14" s="131">
        <f>886/$C$2</f>
        <v>5.906666666666667E-2</v>
      </c>
      <c r="F14" s="131">
        <f>886/$C$2</f>
        <v>5.906666666666667E-2</v>
      </c>
    </row>
    <row r="15" spans="1:7">
      <c r="B15" s="167" t="s">
        <v>370</v>
      </c>
      <c r="C15" s="2">
        <f>483/$C$2</f>
        <v>3.2199999999999999E-2</v>
      </c>
      <c r="D15" s="2">
        <f>471/$C$2</f>
        <v>3.1399999999999997E-2</v>
      </c>
      <c r="E15" s="130">
        <f>490/$C$2</f>
        <v>3.2666666666666663E-2</v>
      </c>
      <c r="F15" s="130">
        <f>490/$C$2</f>
        <v>3.2666666666666663E-2</v>
      </c>
    </row>
    <row r="16" spans="1:7">
      <c r="B16" s="167" t="s">
        <v>371</v>
      </c>
      <c r="C16" s="2" t="s">
        <v>375</v>
      </c>
      <c r="D16" s="2" t="s">
        <v>375</v>
      </c>
      <c r="E16" s="2" t="s">
        <v>375</v>
      </c>
      <c r="F16" s="2" t="s">
        <v>375</v>
      </c>
    </row>
    <row r="17" spans="1:7">
      <c r="B17" s="167" t="s">
        <v>372</v>
      </c>
      <c r="C17" s="2" t="s">
        <v>375</v>
      </c>
      <c r="D17" s="2" t="s">
        <v>375</v>
      </c>
      <c r="E17" s="2" t="s">
        <v>375</v>
      </c>
      <c r="F17" s="2" t="s">
        <v>375</v>
      </c>
    </row>
    <row r="18" spans="1:7" s="81" customFormat="1">
      <c r="A18" s="170"/>
      <c r="B18" s="167" t="s">
        <v>373</v>
      </c>
      <c r="C18" s="171">
        <f>625/$C$2</f>
        <v>4.1666666666666664E-2</v>
      </c>
      <c r="D18" s="172">
        <f>617/$C$2</f>
        <v>4.1133333333333334E-2</v>
      </c>
      <c r="E18" s="172">
        <f>778/$C$2</f>
        <v>5.1866666666666665E-2</v>
      </c>
      <c r="F18" s="165">
        <f>781/$C$2</f>
        <v>5.2066666666666664E-2</v>
      </c>
      <c r="G18" s="173" t="s">
        <v>376</v>
      </c>
    </row>
    <row r="19" spans="1:7">
      <c r="A19" s="174"/>
      <c r="B19" s="175" t="s">
        <v>55</v>
      </c>
      <c r="C19" s="159" t="s">
        <v>24</v>
      </c>
      <c r="D19" s="159" t="s">
        <v>25</v>
      </c>
      <c r="E19" s="159" t="s">
        <v>366</v>
      </c>
      <c r="F19" s="37" t="s">
        <v>27</v>
      </c>
    </row>
    <row r="20" spans="1:7">
      <c r="B20" s="161" t="s">
        <v>367</v>
      </c>
      <c r="C20" s="2" t="s">
        <v>377</v>
      </c>
      <c r="D20" s="2" t="s">
        <v>317</v>
      </c>
      <c r="E20" s="2" t="s">
        <v>253</v>
      </c>
      <c r="F20" s="2" t="s">
        <v>253</v>
      </c>
    </row>
    <row r="21" spans="1:7">
      <c r="B21" s="161" t="s">
        <v>368</v>
      </c>
      <c r="C21" s="2" t="s">
        <v>378</v>
      </c>
      <c r="D21" s="2" t="s">
        <v>379</v>
      </c>
      <c r="E21" s="2" t="s">
        <v>380</v>
      </c>
      <c r="F21" s="2" t="s">
        <v>381</v>
      </c>
    </row>
    <row r="22" spans="1:7">
      <c r="B22" s="161" t="s">
        <v>369</v>
      </c>
      <c r="C22" s="2" t="s">
        <v>186</v>
      </c>
      <c r="D22" s="2" t="s">
        <v>186</v>
      </c>
      <c r="E22" s="2" t="s">
        <v>186</v>
      </c>
      <c r="F22" s="2" t="s">
        <v>186</v>
      </c>
    </row>
    <row r="23" spans="1:7">
      <c r="B23" s="167" t="s">
        <v>370</v>
      </c>
      <c r="C23" s="2" t="s">
        <v>382</v>
      </c>
      <c r="D23" s="2" t="s">
        <v>383</v>
      </c>
      <c r="E23" s="2" t="s">
        <v>340</v>
      </c>
      <c r="F23" s="2" t="s">
        <v>340</v>
      </c>
    </row>
    <row r="24" spans="1:7">
      <c r="B24" s="167" t="s">
        <v>371</v>
      </c>
      <c r="C24" s="2" t="s">
        <v>384</v>
      </c>
      <c r="D24" s="2" t="s">
        <v>204</v>
      </c>
      <c r="E24" s="2" t="s">
        <v>385</v>
      </c>
      <c r="F24" s="2" t="s">
        <v>386</v>
      </c>
    </row>
    <row r="25" spans="1:7">
      <c r="B25" s="167" t="s">
        <v>372</v>
      </c>
      <c r="C25" s="2" t="s">
        <v>387</v>
      </c>
      <c r="D25" s="2" t="s">
        <v>388</v>
      </c>
      <c r="E25" s="2" t="s">
        <v>389</v>
      </c>
      <c r="F25" s="2" t="s">
        <v>390</v>
      </c>
    </row>
    <row r="26" spans="1:7" s="81" customFormat="1">
      <c r="A26" s="170"/>
      <c r="B26" s="167" t="s">
        <v>373</v>
      </c>
      <c r="C26" s="176" t="s">
        <v>391</v>
      </c>
      <c r="D26" s="176" t="s">
        <v>217</v>
      </c>
      <c r="E26" s="177" t="s">
        <v>194</v>
      </c>
      <c r="F26" s="178" t="s">
        <v>194</v>
      </c>
    </row>
    <row r="27" spans="1:7">
      <c r="A27" s="174"/>
      <c r="B27" s="175" t="s">
        <v>233</v>
      </c>
      <c r="C27" s="159" t="s">
        <v>24</v>
      </c>
      <c r="D27" s="159" t="s">
        <v>25</v>
      </c>
      <c r="E27" s="159" t="s">
        <v>366</v>
      </c>
      <c r="F27" s="37" t="s">
        <v>27</v>
      </c>
    </row>
    <row r="28" spans="1:7">
      <c r="B28" s="161" t="s">
        <v>367</v>
      </c>
      <c r="C28" s="179" t="s">
        <v>392</v>
      </c>
      <c r="D28" s="180" t="s">
        <v>393</v>
      </c>
      <c r="E28" s="181" t="s">
        <v>394</v>
      </c>
      <c r="F28" s="181" t="s">
        <v>394</v>
      </c>
    </row>
    <row r="29" spans="1:7">
      <c r="B29" s="161" t="s">
        <v>368</v>
      </c>
      <c r="C29" s="181" t="s">
        <v>395</v>
      </c>
      <c r="D29" s="180" t="s">
        <v>396</v>
      </c>
      <c r="E29" s="181" t="s">
        <v>397</v>
      </c>
      <c r="F29" s="181" t="s">
        <v>398</v>
      </c>
    </row>
    <row r="30" spans="1:7">
      <c r="B30" s="161" t="s">
        <v>369</v>
      </c>
      <c r="C30" s="2" t="s">
        <v>399</v>
      </c>
      <c r="D30" s="2" t="s">
        <v>399</v>
      </c>
      <c r="E30" s="2" t="s">
        <v>399</v>
      </c>
      <c r="F30" s="2" t="s">
        <v>399</v>
      </c>
    </row>
    <row r="31" spans="1:7">
      <c r="B31" s="167" t="s">
        <v>370</v>
      </c>
      <c r="C31" s="181">
        <v>18860</v>
      </c>
      <c r="D31" s="181">
        <v>22260</v>
      </c>
      <c r="E31" s="181">
        <v>28900</v>
      </c>
      <c r="F31" s="181">
        <v>28900</v>
      </c>
    </row>
    <row r="32" spans="1:7">
      <c r="B32" s="167" t="s">
        <v>371</v>
      </c>
      <c r="C32" s="2" t="s">
        <v>332</v>
      </c>
      <c r="D32" s="2" t="s">
        <v>400</v>
      </c>
      <c r="E32" s="2" t="s">
        <v>401</v>
      </c>
      <c r="F32" s="2" t="s">
        <v>401</v>
      </c>
    </row>
    <row r="33" spans="1:6">
      <c r="B33" s="167" t="s">
        <v>372</v>
      </c>
      <c r="C33" s="181" t="s">
        <v>402</v>
      </c>
      <c r="D33" s="182" t="s">
        <v>403</v>
      </c>
      <c r="E33" s="181" t="s">
        <v>404</v>
      </c>
      <c r="F33" s="181" t="s">
        <v>405</v>
      </c>
    </row>
    <row r="34" spans="1:6" s="220" customFormat="1">
      <c r="A34" s="170"/>
      <c r="B34" s="167" t="s">
        <v>373</v>
      </c>
      <c r="C34" s="2" t="s">
        <v>406</v>
      </c>
      <c r="D34" s="183" t="s">
        <v>407</v>
      </c>
      <c r="E34" s="183" t="s">
        <v>408</v>
      </c>
      <c r="F34" s="183" t="s">
        <v>408</v>
      </c>
    </row>
    <row r="35" spans="1:6">
      <c r="A35" s="174"/>
      <c r="B35" s="175" t="s">
        <v>365</v>
      </c>
      <c r="C35" s="159" t="s">
        <v>24</v>
      </c>
      <c r="D35" s="159" t="s">
        <v>25</v>
      </c>
      <c r="E35" s="159" t="s">
        <v>366</v>
      </c>
      <c r="F35" s="37" t="s">
        <v>27</v>
      </c>
    </row>
    <row r="36" spans="1:6">
      <c r="B36" s="161" t="s">
        <v>367</v>
      </c>
      <c r="C36" s="179" t="s">
        <v>409</v>
      </c>
      <c r="D36" s="180">
        <v>37630</v>
      </c>
      <c r="E36" s="181">
        <v>89670</v>
      </c>
      <c r="F36" s="181">
        <v>89670</v>
      </c>
    </row>
    <row r="37" spans="1:6">
      <c r="B37" s="161" t="s">
        <v>368</v>
      </c>
      <c r="C37" s="181">
        <v>7743</v>
      </c>
      <c r="D37" s="180">
        <v>29801</v>
      </c>
      <c r="E37" s="181">
        <v>89323</v>
      </c>
      <c r="F37" s="181">
        <v>96346</v>
      </c>
    </row>
    <row r="38" spans="1:6">
      <c r="B38" s="161" t="s">
        <v>369</v>
      </c>
      <c r="C38" s="2" t="s">
        <v>410</v>
      </c>
      <c r="D38" s="2" t="s">
        <v>410</v>
      </c>
      <c r="E38" s="2" t="s">
        <v>410</v>
      </c>
      <c r="F38" s="2" t="s">
        <v>410</v>
      </c>
    </row>
    <row r="39" spans="1:6">
      <c r="B39" s="167" t="s">
        <v>370</v>
      </c>
      <c r="C39" s="181">
        <v>20800</v>
      </c>
      <c r="D39" s="180">
        <v>68280</v>
      </c>
      <c r="E39" s="2" t="s">
        <v>411</v>
      </c>
      <c r="F39" s="2" t="s">
        <v>411</v>
      </c>
    </row>
    <row r="40" spans="1:6">
      <c r="B40" s="167" t="s">
        <v>371</v>
      </c>
      <c r="C40" s="181">
        <v>65000</v>
      </c>
      <c r="D40" s="182" t="s">
        <v>330</v>
      </c>
      <c r="E40" s="181" t="s">
        <v>399</v>
      </c>
      <c r="F40" s="181" t="s">
        <v>412</v>
      </c>
    </row>
    <row r="41" spans="1:6">
      <c r="B41" s="167" t="s">
        <v>372</v>
      </c>
      <c r="C41" s="181">
        <v>35777</v>
      </c>
      <c r="D41" s="182" t="s">
        <v>332</v>
      </c>
      <c r="E41" s="2" t="s">
        <v>413</v>
      </c>
      <c r="F41" s="2" t="s">
        <v>414</v>
      </c>
    </row>
    <row r="42" spans="1:6">
      <c r="B42" s="167" t="s">
        <v>373</v>
      </c>
      <c r="C42" s="2" t="s">
        <v>415</v>
      </c>
      <c r="D42" s="2" t="s">
        <v>416</v>
      </c>
      <c r="E42" s="2" t="s">
        <v>417</v>
      </c>
      <c r="F42" s="2" t="s">
        <v>417</v>
      </c>
    </row>
  </sheetData>
  <phoneticPr fontId="56" type="noConversion"/>
  <hyperlinks>
    <hyperlink ref="A4" r:id="rId1" xr:uid="{00000000-0004-0000-0100-000001000000}"/>
    <hyperlink ref="A5" r:id="rId2" xr:uid="{00000000-0004-0000-0100-000002000000}"/>
    <hyperlink ref="A6" r:id="rId3" xr:uid="{00000000-0004-0000-0100-000003000000}"/>
    <hyperlink ref="A7" r:id="rId4" xr:uid="{00000000-0004-0000-0100-000004000000}"/>
    <hyperlink ref="A8" r:id="rId5" xr:uid="{00000000-0004-0000-0100-000005000000}"/>
    <hyperlink ref="A9" r:id="rId6" xr:uid="{00000000-0004-0000-0100-000006000000}"/>
    <hyperlink ref="A10" r:id="rId7" xr:uid="{00000000-0004-0000-0100-00000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F Tracking">
    <tabColor rgb="FFFFFFFF"/>
  </sheetPr>
  <dimension ref="A1:M85"/>
  <sheetViews>
    <sheetView workbookViewId="0"/>
  </sheetViews>
  <sheetFormatPr defaultRowHeight="14"/>
  <cols>
    <col min="2" max="2" width="68.54296875" customWidth="1"/>
    <col min="3" max="4" width="34.26953125" customWidth="1"/>
    <col min="11" max="11" width="44.26953125" customWidth="1"/>
  </cols>
  <sheetData>
    <row r="1" spans="1:11" ht="13">
      <c r="H1" s="4" t="s">
        <v>2</v>
      </c>
      <c r="I1" s="184" t="s">
        <v>3</v>
      </c>
      <c r="J1" s="156">
        <v>15000</v>
      </c>
    </row>
    <row r="2" spans="1:11" ht="13">
      <c r="B2" s="3"/>
      <c r="C2" s="3"/>
      <c r="D2" s="3" t="s">
        <v>418</v>
      </c>
      <c r="E2" s="17">
        <v>2018</v>
      </c>
      <c r="F2" s="17">
        <v>2019</v>
      </c>
      <c r="G2" s="17">
        <v>2020</v>
      </c>
      <c r="H2" s="17">
        <v>2021</v>
      </c>
      <c r="I2" s="18">
        <v>2022</v>
      </c>
      <c r="J2" s="18" t="s">
        <v>419</v>
      </c>
    </row>
    <row r="3" spans="1:11" ht="14.5">
      <c r="A3" s="5" t="s">
        <v>530</v>
      </c>
      <c r="B3" s="19"/>
      <c r="C3" s="19"/>
      <c r="D3" s="19" t="s">
        <v>420</v>
      </c>
      <c r="E3" s="185">
        <f>145738/15000/1000</f>
        <v>9.7158666666666664E-3</v>
      </c>
      <c r="F3" s="185">
        <f>1079204/15000/1000</f>
        <v>7.1946933333333338E-2</v>
      </c>
      <c r="G3" s="185">
        <f>573289/15000/1000</f>
        <v>3.8219266666666668E-2</v>
      </c>
      <c r="H3" s="185">
        <f>2165115/15000/1000</f>
        <v>0.144341</v>
      </c>
      <c r="I3" s="185">
        <f>3.43*1000/15000</f>
        <v>0.22866666666666666</v>
      </c>
      <c r="J3" s="186" t="s">
        <v>531</v>
      </c>
    </row>
    <row r="4" spans="1:11" ht="14.5">
      <c r="A4" s="5" t="s">
        <v>532</v>
      </c>
      <c r="B4" s="19"/>
      <c r="C4" s="19"/>
      <c r="D4" s="19" t="s">
        <v>421</v>
      </c>
      <c r="E4" s="82"/>
      <c r="F4" s="82"/>
      <c r="G4" s="82"/>
      <c r="H4" s="82"/>
      <c r="I4" s="82"/>
      <c r="J4" s="82">
        <f>30.4*1000/15000</f>
        <v>2.0266666666666668</v>
      </c>
      <c r="K4" t="s">
        <v>533</v>
      </c>
    </row>
    <row r="5" spans="1:11" ht="14.5">
      <c r="A5" s="5" t="s">
        <v>534</v>
      </c>
      <c r="B5" s="19"/>
      <c r="C5" s="19"/>
      <c r="D5" s="19" t="s">
        <v>422</v>
      </c>
      <c r="E5" s="82">
        <f>33203674/1000/15000</f>
        <v>2.2135782666666666</v>
      </c>
      <c r="F5" s="82">
        <f>33282907/15000/1000</f>
        <v>2.2188604666666665</v>
      </c>
      <c r="G5" s="82">
        <f>15786660/15000/1000</f>
        <v>1.0524439999999999</v>
      </c>
      <c r="H5" s="82">
        <f>24492158/1000/15000</f>
        <v>1.6328105333333334</v>
      </c>
      <c r="I5" s="82">
        <f>33068655/15000/1000</f>
        <v>2.204577</v>
      </c>
      <c r="J5" s="82"/>
    </row>
    <row r="6" spans="1:11" ht="14.5">
      <c r="A6" s="5" t="s">
        <v>535</v>
      </c>
      <c r="B6" s="19"/>
      <c r="C6" s="19"/>
      <c r="D6" s="19" t="s">
        <v>423</v>
      </c>
      <c r="E6" s="82">
        <f>10237.29*0.9832/15000</f>
        <v>0.67102023519999998</v>
      </c>
      <c r="F6" s="82">
        <f>8054.5/15000</f>
        <v>0.5369666666666667</v>
      </c>
      <c r="G6" s="82">
        <f>2364/15000</f>
        <v>0.15759999999999999</v>
      </c>
      <c r="H6" s="82">
        <f>3629.34/15000</f>
        <v>0.241956</v>
      </c>
      <c r="I6" s="82">
        <f>7077.42/15000</f>
        <v>0.47182800000000003</v>
      </c>
      <c r="J6" s="82"/>
    </row>
    <row r="7" spans="1:11" ht="14.5">
      <c r="A7" s="187" t="s">
        <v>536</v>
      </c>
      <c r="B7" s="188"/>
      <c r="C7" s="19"/>
      <c r="D7" s="19" t="s">
        <v>424</v>
      </c>
      <c r="E7" s="82">
        <f>2126476/15000/1000</f>
        <v>0.14176506666666666</v>
      </c>
      <c r="F7" s="82">
        <f>1875326/15000/1000</f>
        <v>0.12502173333333333</v>
      </c>
      <c r="G7" s="82">
        <f>727888/15000/1000</f>
        <v>4.8525866666666667E-2</v>
      </c>
      <c r="H7" s="82">
        <f>1226056/15000/1000</f>
        <v>8.1737066666666663E-2</v>
      </c>
      <c r="I7" s="82">
        <f>2051236/15000/1000</f>
        <v>0.13674906666666667</v>
      </c>
      <c r="J7" s="82">
        <f>1910902/15000/1000</f>
        <v>0.12739346666666668</v>
      </c>
    </row>
    <row r="8" spans="1:11" ht="14.5">
      <c r="A8" s="5" t="s">
        <v>537</v>
      </c>
      <c r="B8" s="188"/>
      <c r="C8" s="19"/>
      <c r="D8" s="19" t="s">
        <v>425</v>
      </c>
      <c r="E8" s="82">
        <f>16372413/15000/1000</f>
        <v>1.0914942000000001</v>
      </c>
      <c r="F8" s="82">
        <f>15896368/15000/1000</f>
        <v>1.0597578666666665</v>
      </c>
      <c r="G8" s="82">
        <f>7606145/15000/1000</f>
        <v>0.50707633333333335</v>
      </c>
      <c r="H8" s="82">
        <f>13672271/15000/1000</f>
        <v>0.91148473333333335</v>
      </c>
      <c r="I8" s="82">
        <f>23346729/15000/1000</f>
        <v>1.5564486</v>
      </c>
      <c r="J8" s="82">
        <f>14.5*1000/15000</f>
        <v>0.96666666666666667</v>
      </c>
      <c r="K8" s="4" t="s">
        <v>426</v>
      </c>
    </row>
    <row r="9" spans="1:11" ht="14.5">
      <c r="A9" s="5" t="s">
        <v>538</v>
      </c>
      <c r="B9" s="19"/>
      <c r="C9" s="19"/>
      <c r="D9" s="19" t="s">
        <v>427</v>
      </c>
      <c r="E9" s="82">
        <f>1292659275652/15000/1000000000</f>
        <v>8.6177285043466667E-2</v>
      </c>
      <c r="F9" s="82">
        <f>1485709850461/15000/1000000000</f>
        <v>9.9047323364066658E-2</v>
      </c>
      <c r="G9" s="82">
        <f>648490988786/15000/1000000000</f>
        <v>4.3232732585733333E-2</v>
      </c>
      <c r="H9" s="82">
        <f>585681570430/15000/1000000000</f>
        <v>3.9045438028666668E-2</v>
      </c>
      <c r="I9" s="82">
        <f>906932656782/15000/1000000000</f>
        <v>6.0462177118799997E-2</v>
      </c>
      <c r="J9" s="82"/>
      <c r="K9" s="7" t="s">
        <v>428</v>
      </c>
    </row>
    <row r="10" spans="1:11" ht="14.5">
      <c r="A10" s="5" t="s">
        <v>539</v>
      </c>
      <c r="B10" s="19"/>
      <c r="C10" s="19"/>
      <c r="D10" s="19" t="s">
        <v>429</v>
      </c>
      <c r="E10" s="82">
        <f>32482845185/15000/1000000000</f>
        <v>2.1655230123333335E-3</v>
      </c>
      <c r="F10" s="82">
        <f>64386051845/15000/1000000000</f>
        <v>4.2924034563333333E-3</v>
      </c>
      <c r="G10" s="189"/>
      <c r="H10" s="189">
        <f>90271916747/15000/1000000000</f>
        <v>6.0181277831333332E-3</v>
      </c>
      <c r="I10" s="189">
        <f>43399296330/15000/1000000000</f>
        <v>2.8932864219999997E-3</v>
      </c>
      <c r="J10" s="82"/>
      <c r="K10" s="7"/>
    </row>
    <row r="11" spans="1:11" ht="14.5">
      <c r="A11" s="5" t="s">
        <v>540</v>
      </c>
      <c r="B11" s="19"/>
      <c r="C11" s="19"/>
      <c r="D11" s="19" t="s">
        <v>430</v>
      </c>
      <c r="E11" s="82">
        <f>83951/15000/1000</f>
        <v>5.5967333333333327E-3</v>
      </c>
      <c r="F11" s="82">
        <f>83951/15000/1000</f>
        <v>5.5967333333333327E-3</v>
      </c>
      <c r="G11" s="82">
        <f>418182/15000/1000</f>
        <v>2.7878799999999999E-2</v>
      </c>
      <c r="H11" s="82">
        <f>1485181387/15000/1000000</f>
        <v>9.9012092466666674E-2</v>
      </c>
      <c r="I11" s="82">
        <f>1932796017/15000/1000000</f>
        <v>0.1288530678</v>
      </c>
      <c r="J11" s="82"/>
      <c r="K11" s="4" t="s">
        <v>431</v>
      </c>
    </row>
    <row r="12" spans="1:11" ht="14.5">
      <c r="A12" s="5" t="s">
        <v>541</v>
      </c>
      <c r="B12" s="19"/>
      <c r="C12" s="19"/>
      <c r="D12" s="19" t="s">
        <v>432</v>
      </c>
      <c r="E12" s="82"/>
      <c r="F12" s="82"/>
      <c r="G12" s="82"/>
      <c r="H12" s="82"/>
      <c r="I12" s="82"/>
      <c r="J12" s="82"/>
    </row>
    <row r="13" spans="1:11" ht="14.5">
      <c r="A13" s="5" t="s">
        <v>542</v>
      </c>
      <c r="B13" s="19"/>
      <c r="C13" s="19"/>
      <c r="D13" s="19" t="s">
        <v>433</v>
      </c>
      <c r="E13" s="82"/>
      <c r="F13" s="82"/>
      <c r="G13" s="82"/>
      <c r="H13" s="82"/>
      <c r="I13" s="82"/>
      <c r="J13" s="82"/>
    </row>
    <row r="14" spans="1:11" ht="14.5">
      <c r="A14" s="5" t="s">
        <v>543</v>
      </c>
      <c r="B14" s="19"/>
      <c r="C14" s="19"/>
      <c r="D14" s="19" t="s">
        <v>434</v>
      </c>
      <c r="E14" s="82"/>
      <c r="F14" s="82"/>
      <c r="G14" s="82"/>
      <c r="H14" s="82"/>
      <c r="I14" s="82"/>
      <c r="J14" s="82"/>
      <c r="K14" s="4"/>
    </row>
    <row r="15" spans="1:11" ht="14.5">
      <c r="A15" s="187" t="s">
        <v>544</v>
      </c>
      <c r="B15" s="19"/>
      <c r="C15" s="19"/>
      <c r="D15" s="19" t="s">
        <v>435</v>
      </c>
      <c r="E15" s="82"/>
      <c r="F15" s="82"/>
      <c r="G15" s="82"/>
      <c r="H15" s="82"/>
      <c r="I15" s="82"/>
      <c r="J15" s="82"/>
    </row>
    <row r="16" spans="1:11" ht="14.5">
      <c r="A16" s="5" t="s">
        <v>545</v>
      </c>
      <c r="B16" s="19"/>
      <c r="C16" s="19"/>
      <c r="D16" s="19" t="s">
        <v>436</v>
      </c>
      <c r="E16" s="82"/>
      <c r="F16" s="82"/>
      <c r="G16" s="82"/>
      <c r="H16" s="82"/>
      <c r="I16" s="82"/>
      <c r="J16" s="82"/>
    </row>
    <row r="17" spans="1:11" ht="13">
      <c r="B17" s="19"/>
      <c r="C17" s="19"/>
      <c r="D17" s="19" t="s">
        <v>437</v>
      </c>
      <c r="E17" s="13">
        <f>(3948537+300886)/15000/1000</f>
        <v>0.2832948666666667</v>
      </c>
      <c r="F17" s="13">
        <f>(2702397+177692)/15000/1000</f>
        <v>0.19200593333333332</v>
      </c>
      <c r="G17" s="13">
        <f>(790302+32248)/15000/1000</f>
        <v>5.4836666666666666E-2</v>
      </c>
      <c r="H17" s="13">
        <f>(1407807+13)/15000/1000</f>
        <v>9.3854666666666656E-2</v>
      </c>
      <c r="I17" s="13">
        <f>1129397/15000/1000</f>
        <v>7.5293133333333331E-2</v>
      </c>
      <c r="J17" s="82"/>
      <c r="K17" s="4" t="s">
        <v>438</v>
      </c>
    </row>
    <row r="18" spans="1:11" ht="13">
      <c r="A18" s="5"/>
      <c r="B18" s="19"/>
      <c r="C18" s="19"/>
      <c r="D18" s="19" t="s">
        <v>439</v>
      </c>
      <c r="E18" s="13"/>
      <c r="F18" s="13"/>
      <c r="G18" s="13"/>
      <c r="H18" s="13"/>
      <c r="I18" s="13"/>
      <c r="J18" s="13"/>
    </row>
    <row r="19" spans="1:11" ht="13">
      <c r="B19" s="190"/>
      <c r="C19" s="190"/>
      <c r="D19" s="190" t="s">
        <v>440</v>
      </c>
    </row>
    <row r="20" spans="1:11" ht="14.5">
      <c r="A20" s="5" t="s">
        <v>546</v>
      </c>
      <c r="B20" s="190"/>
      <c r="C20" s="190"/>
      <c r="D20" s="190" t="s">
        <v>441</v>
      </c>
      <c r="G20" s="45">
        <v>1.1120000000000001</v>
      </c>
      <c r="H20" s="45">
        <v>2.1549999999999998</v>
      </c>
      <c r="K20" s="191" t="s">
        <v>547</v>
      </c>
    </row>
    <row r="21" spans="1:11" ht="13">
      <c r="B21" s="190"/>
      <c r="C21" s="190"/>
      <c r="D21" s="190" t="s">
        <v>442</v>
      </c>
    </row>
    <row r="22" spans="1:11" ht="13">
      <c r="B22" s="190"/>
      <c r="C22" s="190"/>
      <c r="D22" s="190" t="s">
        <v>443</v>
      </c>
    </row>
    <row r="23" spans="1:11" ht="13">
      <c r="B23" s="190"/>
      <c r="C23" s="190"/>
      <c r="D23" s="190" t="s">
        <v>444</v>
      </c>
    </row>
    <row r="24" spans="1:11" ht="13">
      <c r="B24" s="190"/>
      <c r="C24" s="190"/>
      <c r="D24" s="190" t="s">
        <v>445</v>
      </c>
    </row>
    <row r="26" spans="1:11" ht="14.5">
      <c r="C26" s="5" t="s">
        <v>548</v>
      </c>
    </row>
    <row r="27" spans="1:11" ht="13">
      <c r="B27" s="3"/>
      <c r="C27" s="3" t="s">
        <v>446</v>
      </c>
      <c r="D27" s="3" t="s">
        <v>447</v>
      </c>
      <c r="E27" s="17">
        <v>2018</v>
      </c>
      <c r="F27" s="17">
        <v>2019</v>
      </c>
      <c r="G27" s="17">
        <v>2020</v>
      </c>
      <c r="H27" s="17">
        <v>2021</v>
      </c>
      <c r="I27" s="18">
        <v>2022</v>
      </c>
      <c r="J27" s="18" t="s">
        <v>419</v>
      </c>
    </row>
    <row r="28" spans="1:11" ht="14.5">
      <c r="A28" s="5" t="s">
        <v>549</v>
      </c>
      <c r="B28" s="19" t="s">
        <v>448</v>
      </c>
      <c r="C28" s="192"/>
      <c r="D28" s="19" t="s">
        <v>420</v>
      </c>
      <c r="E28" s="193">
        <f>283713990/15000/1000000</f>
        <v>1.8914265999999999E-2</v>
      </c>
      <c r="F28" s="193">
        <f>1063033840/15000/1000000</f>
        <v>7.0868922666666667E-2</v>
      </c>
      <c r="G28" s="193">
        <f>1255401136/15000/1000000</f>
        <v>8.3693409066666655E-2</v>
      </c>
      <c r="H28" s="193">
        <f>2776442315/15000/1000000</f>
        <v>0.18509615433333335</v>
      </c>
      <c r="I28" s="193">
        <f>4919356692/15000/1000000</f>
        <v>0.32795711280000001</v>
      </c>
      <c r="J28" s="13">
        <f>4.19*1000/15000</f>
        <v>0.27933333333333332</v>
      </c>
      <c r="K28" s="5" t="s">
        <v>550</v>
      </c>
    </row>
    <row r="29" spans="1:11" ht="26">
      <c r="A29" s="5" t="s">
        <v>551</v>
      </c>
      <c r="B29" s="194" t="s">
        <v>449</v>
      </c>
      <c r="C29" s="19"/>
      <c r="D29" s="19" t="s">
        <v>421</v>
      </c>
      <c r="E29" s="13"/>
      <c r="F29" s="13"/>
      <c r="G29" s="13"/>
      <c r="H29" s="13"/>
      <c r="I29" s="13"/>
      <c r="J29" s="13">
        <f>52.8*1000/15000</f>
        <v>3.52</v>
      </c>
      <c r="K29" t="s">
        <v>450</v>
      </c>
    </row>
    <row r="30" spans="1:11" ht="14.5">
      <c r="A30" s="187" t="s">
        <v>552</v>
      </c>
      <c r="B30" s="19" t="s">
        <v>451</v>
      </c>
      <c r="C30" s="19" t="s">
        <v>452</v>
      </c>
      <c r="D30" s="19" t="s">
        <v>422</v>
      </c>
      <c r="E30" s="13">
        <f>6572891/1000/15000</f>
        <v>0.43819273333333331</v>
      </c>
      <c r="F30" s="13">
        <f>9472288/1000/15000</f>
        <v>0.63148586666666673</v>
      </c>
      <c r="G30" s="13">
        <f>6898607/1000/15000</f>
        <v>0.45990713333333333</v>
      </c>
      <c r="H30" s="13">
        <f>6778864/1000/15000</f>
        <v>0.45192426666666663</v>
      </c>
      <c r="I30" s="13">
        <f>6846268/1000/15000</f>
        <v>0.45641786666666667</v>
      </c>
      <c r="J30" s="13"/>
      <c r="K30" s="195"/>
    </row>
    <row r="31" spans="1:11" ht="14.5">
      <c r="A31" s="5" t="s">
        <v>553</v>
      </c>
      <c r="B31" s="19" t="s">
        <v>453</v>
      </c>
      <c r="C31" s="19"/>
      <c r="D31" s="19" t="s">
        <v>423</v>
      </c>
      <c r="E31" s="13">
        <f>8189.75/15000</f>
        <v>0.54598333333333338</v>
      </c>
      <c r="F31" s="13">
        <f>9846.11/15000</f>
        <v>0.65640733333333334</v>
      </c>
      <c r="G31" s="13">
        <f>7175.72/15000</f>
        <v>0.47838133333333333</v>
      </c>
      <c r="H31" s="13">
        <f>5661.19/15000</f>
        <v>0.37741266666666662</v>
      </c>
      <c r="I31" s="13">
        <f>6795.45/15000</f>
        <v>0.45302999999999999</v>
      </c>
      <c r="J31" s="13"/>
    </row>
    <row r="32" spans="1:11" ht="14.5">
      <c r="A32" s="187" t="s">
        <v>554</v>
      </c>
      <c r="B32" s="19" t="s">
        <v>454</v>
      </c>
      <c r="C32" s="19"/>
      <c r="D32" s="19" t="s">
        <v>424</v>
      </c>
      <c r="E32" s="13">
        <f>3422701/15000/1000</f>
        <v>0.22818006666666668</v>
      </c>
      <c r="F32" s="13">
        <f>3564191/15000/1000</f>
        <v>0.23761273333333333</v>
      </c>
      <c r="G32" s="13">
        <f>2668412/15000/1000</f>
        <v>0.17789413333333334</v>
      </c>
      <c r="H32" s="13">
        <f>2395309/15000/1000</f>
        <v>0.15968726666666666</v>
      </c>
      <c r="I32" s="13">
        <f>2990988/15000/1000</f>
        <v>0.1993992</v>
      </c>
      <c r="J32" s="82">
        <f>3720555/15000/1000</f>
        <v>0.24803700000000001</v>
      </c>
    </row>
    <row r="33" spans="1:13" ht="14.5">
      <c r="A33" s="187" t="s">
        <v>555</v>
      </c>
      <c r="B33" s="188" t="s">
        <v>556</v>
      </c>
      <c r="C33" s="188"/>
      <c r="D33" s="188" t="s">
        <v>425</v>
      </c>
      <c r="E33" s="13">
        <f>5922788/15000/1000</f>
        <v>0.39485253333333331</v>
      </c>
      <c r="F33" s="13">
        <f>17395920/15000/1000</f>
        <v>1.1597280000000001</v>
      </c>
      <c r="G33" s="13">
        <f>12678444/15000/1000</f>
        <v>0.84522960000000003</v>
      </c>
      <c r="H33" s="13">
        <f>13676190/15000/1000</f>
        <v>0.91174599999999995</v>
      </c>
      <c r="I33" s="13">
        <f>19554254/15000/1000</f>
        <v>1.3036169333333332</v>
      </c>
      <c r="J33" s="13"/>
      <c r="K33" s="4" t="s">
        <v>455</v>
      </c>
    </row>
    <row r="34" spans="1:13" ht="14.5">
      <c r="A34" s="5" t="s">
        <v>557</v>
      </c>
      <c r="B34" s="19" t="s">
        <v>456</v>
      </c>
      <c r="C34" s="19"/>
      <c r="D34" s="19" t="s">
        <v>427</v>
      </c>
      <c r="E34" s="13">
        <f>1134009/15000/1000</f>
        <v>7.5600600000000004E-2</v>
      </c>
      <c r="F34" s="13">
        <f>1132423/15000/1000</f>
        <v>7.549486666666666E-2</v>
      </c>
      <c r="G34" s="13">
        <f>849061/15000/1000</f>
        <v>5.6604066666666668E-2</v>
      </c>
      <c r="H34" s="13">
        <f>663247/15000/1000</f>
        <v>4.4216466666666669E-2</v>
      </c>
      <c r="I34" s="13">
        <f>773361/15000/1000</f>
        <v>5.1557400000000003E-2</v>
      </c>
      <c r="J34" s="13"/>
      <c r="K34" s="196"/>
    </row>
    <row r="35" spans="1:13" ht="14.5">
      <c r="A35" s="5" t="s">
        <v>558</v>
      </c>
      <c r="B35" s="19" t="s">
        <v>457</v>
      </c>
      <c r="C35" s="19"/>
      <c r="D35" s="19" t="s">
        <v>429</v>
      </c>
      <c r="E35" s="13">
        <f>26581039315/15000/1000000000</f>
        <v>1.7720692876666666E-3</v>
      </c>
      <c r="F35" s="197">
        <f>38379739799/15000/1000000000</f>
        <v>2.5586493199333334E-3</v>
      </c>
      <c r="G35" s="198">
        <f>76499758007/15000/1000000000</f>
        <v>5.0999838671333337E-3</v>
      </c>
      <c r="H35" s="198">
        <f>81480116015/15000/1000000000</f>
        <v>5.4320077343333337E-3</v>
      </c>
      <c r="I35" s="198">
        <f>43923964336/15000/1000000000</f>
        <v>2.9282642890666667E-3</v>
      </c>
      <c r="J35" s="13"/>
      <c r="K35" s="4"/>
    </row>
    <row r="36" spans="1:13" ht="14.5">
      <c r="A36" s="5" t="s">
        <v>559</v>
      </c>
      <c r="B36" s="19"/>
      <c r="C36" s="19"/>
      <c r="D36" s="19" t="s">
        <v>430</v>
      </c>
      <c r="E36" s="13">
        <f>1567515/15000/1000</f>
        <v>0.10450100000000001</v>
      </c>
      <c r="F36" s="13">
        <f>502698/15000/1000</f>
        <v>3.35132E-2</v>
      </c>
      <c r="G36" s="197">
        <f>285098/15000/1000</f>
        <v>1.9006533333333332E-2</v>
      </c>
      <c r="H36" s="13">
        <f>980271775/15000/1000000</f>
        <v>6.5351451666666671E-2</v>
      </c>
      <c r="I36" s="13">
        <f>1436322704/15000/1000000</f>
        <v>9.5754846933333332E-2</v>
      </c>
      <c r="J36" s="13"/>
      <c r="K36" s="4" t="s">
        <v>458</v>
      </c>
    </row>
    <row r="37" spans="1:13" ht="14.5">
      <c r="A37" s="5" t="s">
        <v>560</v>
      </c>
      <c r="B37" s="199" t="s">
        <v>561</v>
      </c>
      <c r="C37" s="19"/>
      <c r="D37" s="19" t="s">
        <v>432</v>
      </c>
      <c r="E37" s="13"/>
      <c r="F37" s="13"/>
      <c r="G37" s="13"/>
      <c r="H37" s="13">
        <f>4439797/15000/1000</f>
        <v>0.29598646666666667</v>
      </c>
      <c r="I37" s="13">
        <f>4742659/15000/1000</f>
        <v>0.31617726666666662</v>
      </c>
      <c r="J37" s="13"/>
    </row>
    <row r="38" spans="1:13" ht="14.5">
      <c r="A38" s="5" t="s">
        <v>562</v>
      </c>
      <c r="B38" s="19" t="s">
        <v>459</v>
      </c>
      <c r="C38" s="19"/>
      <c r="D38" s="19" t="s">
        <v>433</v>
      </c>
      <c r="E38" s="13">
        <f>(85448616296+148981250)/15000/1000000000</f>
        <v>5.7065065030666665E-3</v>
      </c>
      <c r="F38" s="13">
        <f>56532597759/15000/1000000000</f>
        <v>3.7688398506000001E-3</v>
      </c>
      <c r="G38" s="13">
        <f>29751789189/15000/1000000000</f>
        <v>1.9834526125999999E-3</v>
      </c>
      <c r="H38" s="197">
        <f>6314066794/15000/1000000000</f>
        <v>4.2093778626666665E-4</v>
      </c>
      <c r="I38" s="13">
        <f>2055801591/15000/1000000000</f>
        <v>1.3705343939999999E-4</v>
      </c>
      <c r="J38" s="13"/>
      <c r="K38" s="4" t="s">
        <v>460</v>
      </c>
      <c r="L38" s="4" t="s">
        <v>461</v>
      </c>
      <c r="M38" s="4" t="s">
        <v>461</v>
      </c>
    </row>
    <row r="39" spans="1:13" ht="14.5">
      <c r="A39" s="5" t="s">
        <v>563</v>
      </c>
      <c r="B39" s="19"/>
      <c r="C39" s="19"/>
      <c r="D39" s="19" t="s">
        <v>434</v>
      </c>
      <c r="E39" s="13">
        <f>57527/15000/1000</f>
        <v>3.8351333333333333E-3</v>
      </c>
      <c r="F39" s="13">
        <f>9642/15000/1000</f>
        <v>6.4280000000000001E-4</v>
      </c>
      <c r="G39" s="13">
        <f>5464/15000/1000</f>
        <v>3.6426666666666667E-4</v>
      </c>
      <c r="H39" s="13">
        <f>17410/15000/1000</f>
        <v>1.1606666666666668E-3</v>
      </c>
      <c r="I39" s="13">
        <f>23122/15000/1000</f>
        <v>1.5414666666666668E-3</v>
      </c>
      <c r="J39" s="13"/>
    </row>
    <row r="40" spans="1:13" ht="14.5">
      <c r="A40" s="187" t="s">
        <v>564</v>
      </c>
      <c r="B40" s="19"/>
      <c r="C40" s="19"/>
      <c r="D40" s="19" t="s">
        <v>435</v>
      </c>
      <c r="E40" s="13">
        <f>25263/15000/1000</f>
        <v>1.6841999999999998E-3</v>
      </c>
      <c r="F40" s="13">
        <f>18584/15000/1000</f>
        <v>1.2389333333333334E-3</v>
      </c>
      <c r="G40" s="13">
        <f>37997/15000/1000</f>
        <v>2.5331333333333331E-3</v>
      </c>
      <c r="H40" s="13">
        <f>29961/15000/1000</f>
        <v>1.9973999999999999E-3</v>
      </c>
      <c r="I40" s="13">
        <f>65517/15000/1000</f>
        <v>4.3677999999999998E-3</v>
      </c>
      <c r="J40" s="13"/>
      <c r="K40" s="4" t="s">
        <v>460</v>
      </c>
    </row>
    <row r="41" spans="1:13" ht="14.5">
      <c r="A41" s="5" t="s">
        <v>565</v>
      </c>
      <c r="B41" s="19"/>
      <c r="C41" s="19"/>
      <c r="D41" s="19" t="s">
        <v>436</v>
      </c>
      <c r="E41" s="13">
        <f>1223/15000</f>
        <v>8.1533333333333333E-2</v>
      </c>
      <c r="F41" s="13">
        <f>921/15000</f>
        <v>6.1400000000000003E-2</v>
      </c>
      <c r="G41" s="13">
        <f>1098.59/15000</f>
        <v>7.3239333333333323E-2</v>
      </c>
      <c r="H41" s="13">
        <f>1193.68/15000</f>
        <v>7.9578666666666673E-2</v>
      </c>
      <c r="I41" s="13">
        <f>1438.26/15000</f>
        <v>9.5883999999999997E-2</v>
      </c>
      <c r="J41" s="13"/>
    </row>
    <row r="42" spans="1:13" ht="14.5">
      <c r="A42" s="5" t="s">
        <v>566</v>
      </c>
      <c r="B42" s="19" t="s">
        <v>462</v>
      </c>
      <c r="C42" s="19"/>
      <c r="D42" s="19" t="s">
        <v>437</v>
      </c>
      <c r="E42" s="13">
        <f>7243068/15000/1000</f>
        <v>0.4828712</v>
      </c>
      <c r="F42" s="13">
        <f>7205215/15000/1000</f>
        <v>0.48034766666666667</v>
      </c>
      <c r="G42" s="13">
        <f>4280120/15000/1000</f>
        <v>0.28534133333333334</v>
      </c>
      <c r="H42" s="13">
        <f>4051367/15000/1000</f>
        <v>0.27009113333333334</v>
      </c>
      <c r="I42" s="13">
        <f>3541946/15000/1000</f>
        <v>0.23612973333333331</v>
      </c>
      <c r="J42" s="5" t="s">
        <v>567</v>
      </c>
    </row>
    <row r="43" spans="1:13" ht="13">
      <c r="A43" s="5"/>
      <c r="B43" s="19"/>
      <c r="C43" s="19" t="s">
        <v>463</v>
      </c>
      <c r="D43" s="19" t="s">
        <v>439</v>
      </c>
      <c r="E43" s="13"/>
      <c r="F43" s="13"/>
      <c r="G43" s="13"/>
      <c r="H43" s="13"/>
      <c r="I43" s="13"/>
      <c r="J43" s="13"/>
    </row>
    <row r="44" spans="1:13" ht="13">
      <c r="B44" s="190"/>
      <c r="C44" s="190"/>
      <c r="D44" s="190" t="s">
        <v>440</v>
      </c>
      <c r="E44" s="13"/>
      <c r="F44" s="13"/>
      <c r="G44" s="13"/>
      <c r="H44" s="13"/>
      <c r="I44" s="13"/>
      <c r="J44" s="13"/>
    </row>
    <row r="45" spans="1:13" ht="14.5">
      <c r="A45" s="5" t="s">
        <v>568</v>
      </c>
      <c r="B45" s="190"/>
      <c r="C45" s="190"/>
      <c r="D45" s="190" t="s">
        <v>441</v>
      </c>
      <c r="E45" s="13"/>
      <c r="F45" s="13"/>
      <c r="G45" s="13"/>
      <c r="H45" s="13"/>
      <c r="I45" s="13"/>
      <c r="J45" s="13"/>
    </row>
    <row r="46" spans="1:13" ht="13">
      <c r="B46" s="190"/>
      <c r="C46" s="190"/>
      <c r="D46" s="190" t="s">
        <v>442</v>
      </c>
      <c r="E46" s="13"/>
      <c r="F46" s="13"/>
      <c r="G46" s="13"/>
      <c r="H46" s="13"/>
      <c r="I46" s="13"/>
      <c r="J46" s="13"/>
    </row>
    <row r="47" spans="1:13" ht="13">
      <c r="B47" s="190"/>
      <c r="C47" s="190" t="s">
        <v>464</v>
      </c>
      <c r="D47" s="190" t="s">
        <v>443</v>
      </c>
      <c r="E47" s="13"/>
      <c r="F47" s="13"/>
      <c r="G47" s="13"/>
      <c r="H47" s="13"/>
      <c r="I47" s="13"/>
      <c r="J47" s="13"/>
    </row>
    <row r="48" spans="1:13" ht="13">
      <c r="B48" s="190" t="s">
        <v>465</v>
      </c>
      <c r="C48" s="190"/>
      <c r="D48" s="190" t="s">
        <v>444</v>
      </c>
      <c r="E48" s="13"/>
      <c r="F48" s="13"/>
      <c r="G48" s="13"/>
      <c r="H48" s="13"/>
      <c r="I48" s="13"/>
      <c r="J48" s="13"/>
    </row>
    <row r="49" spans="2:11" ht="13">
      <c r="B49" s="190"/>
      <c r="C49" s="200"/>
      <c r="D49" s="190" t="s">
        <v>445</v>
      </c>
      <c r="E49" s="13"/>
      <c r="F49" s="13"/>
      <c r="G49" s="13"/>
      <c r="H49" s="13"/>
      <c r="I49" s="13"/>
      <c r="J49" s="13"/>
    </row>
    <row r="51" spans="2:11" ht="13">
      <c r="B51" s="3"/>
      <c r="C51" s="8"/>
      <c r="D51" s="3" t="s">
        <v>466</v>
      </c>
      <c r="E51" s="17">
        <v>2018</v>
      </c>
      <c r="F51" s="17">
        <v>2019</v>
      </c>
      <c r="G51" s="17">
        <v>2020</v>
      </c>
      <c r="H51" s="17">
        <v>2021</v>
      </c>
      <c r="I51" s="18">
        <v>2022</v>
      </c>
      <c r="J51" s="18" t="s">
        <v>419</v>
      </c>
    </row>
    <row r="52" spans="2:11" ht="13">
      <c r="B52" s="19"/>
      <c r="C52" s="188"/>
      <c r="D52" s="19" t="s">
        <v>0</v>
      </c>
      <c r="E52" s="201" t="s">
        <v>467</v>
      </c>
      <c r="F52" s="202">
        <f>1585350/15000/1000000</f>
        <v>1.0569E-4</v>
      </c>
      <c r="G52" s="202">
        <f>1183891/15000/1000000</f>
        <v>7.8926066666666677E-5</v>
      </c>
      <c r="H52" s="202">
        <f>2907321/15000/1000000</f>
        <v>1.938214E-4</v>
      </c>
      <c r="I52" s="202">
        <f>3976603/15000/1000000</f>
        <v>2.6510686666666669E-4</v>
      </c>
      <c r="J52" s="203"/>
      <c r="K52" s="4" t="s">
        <v>468</v>
      </c>
    </row>
    <row r="53" spans="2:11" ht="14.5">
      <c r="B53" s="19"/>
      <c r="C53" s="19"/>
      <c r="D53" s="19" t="s">
        <v>421</v>
      </c>
      <c r="E53" s="204"/>
      <c r="F53" s="204"/>
      <c r="G53" s="204"/>
      <c r="H53" s="204"/>
      <c r="I53" s="204"/>
      <c r="J53" s="5" t="s">
        <v>569</v>
      </c>
    </row>
    <row r="54" spans="2:11" ht="13">
      <c r="B54" s="19"/>
      <c r="C54" s="19"/>
      <c r="D54" s="19" t="s">
        <v>422</v>
      </c>
      <c r="E54" s="204"/>
      <c r="F54" s="204"/>
      <c r="G54" s="204"/>
      <c r="H54" s="204"/>
      <c r="I54" s="204"/>
      <c r="J54" s="204"/>
    </row>
    <row r="55" spans="2:11" ht="13">
      <c r="B55" s="19"/>
      <c r="C55" s="188"/>
      <c r="D55" s="19" t="s">
        <v>423</v>
      </c>
      <c r="E55" s="204"/>
      <c r="F55" s="204"/>
      <c r="G55" s="204"/>
      <c r="H55" s="204"/>
      <c r="I55" s="204"/>
      <c r="J55" s="204"/>
    </row>
    <row r="56" spans="2:11" ht="13">
      <c r="B56" s="19"/>
      <c r="C56" s="188"/>
      <c r="D56" s="19" t="s">
        <v>424</v>
      </c>
      <c r="E56" s="204"/>
      <c r="F56" s="204"/>
      <c r="G56" s="204"/>
      <c r="H56" s="204"/>
      <c r="I56" s="204"/>
      <c r="J56" s="204"/>
    </row>
    <row r="57" spans="2:11" ht="13">
      <c r="B57" s="19"/>
      <c r="C57" s="188"/>
      <c r="D57" s="188" t="s">
        <v>425</v>
      </c>
      <c r="E57" s="204">
        <f>17283/15000*9.4%</f>
        <v>0.10830679999999999</v>
      </c>
      <c r="F57" s="204">
        <f>17439/15000*11.1%</f>
        <v>0.12904860000000001</v>
      </c>
      <c r="G57" s="204">
        <f>12700/15000*9.2%</f>
        <v>7.7893333333333328E-2</v>
      </c>
      <c r="H57" s="204">
        <f>13683/15000*9.7%</f>
        <v>8.848339999999999E-2</v>
      </c>
      <c r="I57" s="204">
        <f>19562/15000*11.9%</f>
        <v>0.15519186666666668</v>
      </c>
      <c r="J57" s="204"/>
      <c r="K57" s="4" t="s">
        <v>469</v>
      </c>
    </row>
    <row r="58" spans="2:11" ht="13">
      <c r="B58" s="19"/>
      <c r="C58" s="188"/>
      <c r="D58" s="19" t="s">
        <v>427</v>
      </c>
      <c r="E58" s="204"/>
      <c r="F58" s="204"/>
      <c r="G58" s="204"/>
      <c r="H58" s="204">
        <f>819159351892/15000/1000000000</f>
        <v>5.4610623459466663E-2</v>
      </c>
      <c r="I58" s="204">
        <f>925551138417/1000000000/15000</f>
        <v>6.1703409227799995E-2</v>
      </c>
      <c r="J58" s="204"/>
      <c r="K58" s="4" t="s">
        <v>470</v>
      </c>
    </row>
    <row r="59" spans="2:11" ht="13">
      <c r="B59" s="19"/>
      <c r="C59" s="188"/>
      <c r="D59" s="19" t="s">
        <v>429</v>
      </c>
      <c r="E59" s="204"/>
      <c r="F59" s="204"/>
      <c r="G59" s="204"/>
      <c r="H59" s="204"/>
      <c r="I59" s="204"/>
      <c r="J59" s="204"/>
    </row>
    <row r="60" spans="2:11" ht="13">
      <c r="B60" s="19"/>
      <c r="C60" s="19"/>
      <c r="D60" s="19" t="s">
        <v>430</v>
      </c>
      <c r="E60" s="204"/>
      <c r="F60" s="204"/>
      <c r="G60" s="204"/>
      <c r="H60" s="204"/>
      <c r="I60" s="204"/>
      <c r="J60" s="204"/>
      <c r="K60" s="4"/>
    </row>
    <row r="61" spans="2:11" ht="13">
      <c r="B61" s="19"/>
      <c r="C61" s="19"/>
      <c r="D61" s="19" t="s">
        <v>432</v>
      </c>
      <c r="E61" s="204"/>
      <c r="F61" s="204"/>
      <c r="G61" s="204"/>
      <c r="H61" s="204"/>
      <c r="I61" s="204"/>
      <c r="J61" s="204"/>
    </row>
    <row r="62" spans="2:11" ht="13">
      <c r="B62" s="19"/>
      <c r="C62" s="19"/>
      <c r="D62" s="19" t="s">
        <v>433</v>
      </c>
      <c r="E62" s="204"/>
      <c r="F62" s="204"/>
      <c r="G62" s="204"/>
      <c r="H62" s="204"/>
      <c r="I62" s="204"/>
      <c r="J62" s="204"/>
    </row>
    <row r="63" spans="2:11" ht="13">
      <c r="B63" s="19"/>
      <c r="C63" s="19"/>
      <c r="D63" s="19" t="s">
        <v>434</v>
      </c>
      <c r="E63" s="204"/>
      <c r="F63" s="204"/>
      <c r="G63" s="204"/>
      <c r="H63" s="204"/>
      <c r="I63" s="204"/>
      <c r="J63" s="204"/>
    </row>
    <row r="64" spans="2:11" ht="13">
      <c r="B64" s="19"/>
      <c r="C64" s="19"/>
      <c r="D64" s="19" t="s">
        <v>435</v>
      </c>
      <c r="E64" s="204"/>
      <c r="F64" s="204"/>
      <c r="G64" s="204"/>
      <c r="H64" s="204"/>
      <c r="I64" s="204"/>
      <c r="J64" s="204"/>
    </row>
    <row r="65" spans="1:10" ht="13">
      <c r="B65" s="19"/>
      <c r="C65" s="19"/>
      <c r="D65" s="19" t="s">
        <v>436</v>
      </c>
      <c r="E65" s="204"/>
      <c r="F65" s="204"/>
      <c r="G65" s="204"/>
      <c r="H65" s="204"/>
      <c r="I65" s="204"/>
      <c r="J65" s="204"/>
    </row>
    <row r="66" spans="1:10" ht="14.5">
      <c r="B66" s="19"/>
      <c r="C66" s="19"/>
      <c r="D66" s="19" t="s">
        <v>437</v>
      </c>
      <c r="E66" s="204"/>
      <c r="F66" s="204"/>
      <c r="G66" s="204"/>
      <c r="H66" s="204"/>
      <c r="I66" s="204"/>
      <c r="J66" s="204" t="s">
        <v>570</v>
      </c>
    </row>
    <row r="67" spans="1:10" ht="13">
      <c r="A67" s="5"/>
      <c r="B67" s="19"/>
      <c r="C67" s="19"/>
      <c r="D67" s="19" t="s">
        <v>439</v>
      </c>
      <c r="E67" s="13"/>
      <c r="F67" s="13"/>
      <c r="G67" s="13"/>
      <c r="H67" s="13"/>
      <c r="I67" s="13"/>
      <c r="J67" s="13"/>
    </row>
    <row r="68" spans="1:10" ht="13">
      <c r="B68" s="190"/>
      <c r="C68" s="190"/>
      <c r="D68" s="190" t="s">
        <v>440</v>
      </c>
      <c r="E68" s="204"/>
      <c r="F68" s="204"/>
      <c r="G68" s="204"/>
      <c r="H68" s="204"/>
      <c r="I68" s="204"/>
      <c r="J68" s="204"/>
    </row>
    <row r="69" spans="1:10" ht="13">
      <c r="B69" s="190"/>
      <c r="C69" s="190"/>
      <c r="D69" s="190" t="s">
        <v>441</v>
      </c>
      <c r="E69" s="204"/>
      <c r="F69" s="204"/>
      <c r="G69" s="204"/>
      <c r="H69" s="204"/>
      <c r="I69" s="204"/>
      <c r="J69" s="204"/>
    </row>
    <row r="70" spans="1:10" ht="13">
      <c r="B70" s="190"/>
      <c r="C70" s="190"/>
      <c r="D70" s="190" t="s">
        <v>442</v>
      </c>
      <c r="E70" s="204"/>
      <c r="F70" s="204"/>
      <c r="G70" s="204"/>
      <c r="H70" s="204"/>
      <c r="I70" s="204"/>
      <c r="J70" s="204"/>
    </row>
    <row r="71" spans="1:10" ht="13">
      <c r="B71" s="190"/>
      <c r="C71" s="190"/>
      <c r="D71" s="190" t="s">
        <v>443</v>
      </c>
      <c r="E71" s="204"/>
      <c r="F71" s="204"/>
      <c r="G71" s="204"/>
      <c r="H71" s="204"/>
      <c r="I71" s="204"/>
      <c r="J71" s="204"/>
    </row>
    <row r="72" spans="1:10" ht="13">
      <c r="B72" s="190"/>
      <c r="C72" s="190"/>
      <c r="D72" s="190" t="s">
        <v>444</v>
      </c>
      <c r="E72" s="204"/>
      <c r="F72" s="204"/>
      <c r="G72" s="204"/>
      <c r="H72" s="204"/>
      <c r="I72" s="204"/>
      <c r="J72" s="204"/>
    </row>
    <row r="73" spans="1:10" ht="13">
      <c r="B73" s="190"/>
      <c r="C73" s="190"/>
      <c r="D73" s="190" t="s">
        <v>445</v>
      </c>
      <c r="E73" s="204"/>
      <c r="F73" s="204"/>
      <c r="G73" s="204"/>
      <c r="H73" s="204"/>
      <c r="I73" s="204"/>
      <c r="J73" s="204"/>
    </row>
    <row r="75" spans="1:10" ht="13">
      <c r="B75" s="3"/>
      <c r="C75" s="3"/>
      <c r="D75" s="3" t="s">
        <v>471</v>
      </c>
      <c r="E75" s="17">
        <v>2018</v>
      </c>
      <c r="F75" s="17">
        <v>2019</v>
      </c>
      <c r="G75" s="17">
        <v>2020</v>
      </c>
      <c r="H75" s="17">
        <v>2021</v>
      </c>
      <c r="I75" s="18">
        <v>2022</v>
      </c>
      <c r="J75" s="18" t="s">
        <v>419</v>
      </c>
    </row>
    <row r="76" spans="1:10" ht="14.5">
      <c r="B76" s="19"/>
      <c r="C76" s="19"/>
      <c r="D76" s="19" t="s">
        <v>0</v>
      </c>
      <c r="E76" s="20"/>
      <c r="F76" s="21"/>
      <c r="G76" s="21"/>
      <c r="H76" s="21"/>
      <c r="I76" s="205"/>
      <c r="J76" s="5" t="s">
        <v>571</v>
      </c>
    </row>
    <row r="77" spans="1:10" ht="13">
      <c r="B77" s="19"/>
      <c r="C77" s="19"/>
      <c r="D77" s="19" t="s">
        <v>421</v>
      </c>
    </row>
    <row r="78" spans="1:10" ht="13">
      <c r="B78" s="19"/>
      <c r="C78" s="19"/>
      <c r="D78" s="19" t="s">
        <v>422</v>
      </c>
    </row>
    <row r="79" spans="1:10" ht="13">
      <c r="B79" s="19"/>
      <c r="C79" s="19"/>
      <c r="D79" s="19" t="s">
        <v>423</v>
      </c>
    </row>
    <row r="80" spans="1:10" ht="13">
      <c r="B80" s="190"/>
      <c r="C80" s="190"/>
      <c r="D80" s="190" t="s">
        <v>440</v>
      </c>
    </row>
    <row r="81" spans="2:4" ht="13">
      <c r="B81" s="190"/>
      <c r="C81" s="190"/>
      <c r="D81" s="190" t="s">
        <v>441</v>
      </c>
    </row>
    <row r="82" spans="2:4" ht="13">
      <c r="B82" s="190"/>
      <c r="C82" s="190"/>
      <c r="D82" s="190" t="s">
        <v>442</v>
      </c>
    </row>
    <row r="83" spans="2:4" ht="13">
      <c r="B83" s="190"/>
      <c r="C83" s="190"/>
      <c r="D83" s="190" t="s">
        <v>443</v>
      </c>
    </row>
    <row r="84" spans="2:4" ht="13">
      <c r="B84" s="190"/>
      <c r="C84" s="190"/>
      <c r="D84" s="190" t="s">
        <v>444</v>
      </c>
    </row>
    <row r="85" spans="2:4" ht="13">
      <c r="B85" s="190"/>
      <c r="C85" s="190"/>
      <c r="D85" s="190" t="s">
        <v>445</v>
      </c>
    </row>
  </sheetData>
  <phoneticPr fontId="56" type="noConversion"/>
  <hyperlinks>
    <hyperlink ref="A3" r:id="rId1" xr:uid="{00000000-0004-0000-0200-000000000000}"/>
    <hyperlink ref="J3" r:id="rId2" xr:uid="{00000000-0004-0000-0200-000001000000}"/>
    <hyperlink ref="A4" r:id="rId3" xr:uid="{00000000-0004-0000-0200-000002000000}"/>
    <hyperlink ref="K4" r:id="rId4" xr:uid="{00000000-0004-0000-0200-000003000000}"/>
    <hyperlink ref="A5" r:id="rId5" xr:uid="{00000000-0004-0000-0200-000004000000}"/>
    <hyperlink ref="A6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4" r:id="rId13" xr:uid="{00000000-0004-0000-0200-00000C000000}"/>
    <hyperlink ref="A15" r:id="rId14" xr:uid="{00000000-0004-0000-0200-00000D000000}"/>
    <hyperlink ref="A16" r:id="rId15" xr:uid="{00000000-0004-0000-0200-00000E000000}"/>
    <hyperlink ref="A20" r:id="rId16" xr:uid="{00000000-0004-0000-0200-00000F000000}"/>
    <hyperlink ref="C26" r:id="rId17" xr:uid="{00000000-0004-0000-0200-000010000000}"/>
    <hyperlink ref="A28" r:id="rId18" xr:uid="{00000000-0004-0000-0200-000011000000}"/>
    <hyperlink ref="K28" r:id="rId19" xr:uid="{00000000-0004-0000-0200-000012000000}"/>
    <hyperlink ref="A29" r:id="rId20" xr:uid="{00000000-0004-0000-0200-000013000000}"/>
    <hyperlink ref="A30" r:id="rId21" xr:uid="{00000000-0004-0000-0200-000014000000}"/>
    <hyperlink ref="A31" r:id="rId22" xr:uid="{00000000-0004-0000-0200-000015000000}"/>
    <hyperlink ref="A34" r:id="rId23" xr:uid="{00000000-0004-0000-0200-000016000000}"/>
    <hyperlink ref="A35" r:id="rId24" xr:uid="{00000000-0004-0000-0200-000017000000}"/>
    <hyperlink ref="A36" r:id="rId25" xr:uid="{00000000-0004-0000-0200-000018000000}"/>
    <hyperlink ref="A37" r:id="rId26" xr:uid="{00000000-0004-0000-0200-000019000000}"/>
    <hyperlink ref="B37" r:id="rId27" xr:uid="{00000000-0004-0000-0200-00001A000000}"/>
    <hyperlink ref="A38" r:id="rId28" xr:uid="{00000000-0004-0000-0200-00001B000000}"/>
    <hyperlink ref="A39" r:id="rId29" xr:uid="{00000000-0004-0000-0200-00001C000000}"/>
    <hyperlink ref="A40" r:id="rId30" xr:uid="{00000000-0004-0000-0200-00001D000000}"/>
    <hyperlink ref="A41" r:id="rId31" xr:uid="{00000000-0004-0000-0200-00001E000000}"/>
    <hyperlink ref="A42" r:id="rId32" xr:uid="{00000000-0004-0000-0200-00001F000000}"/>
    <hyperlink ref="J42" r:id="rId33" xr:uid="{00000000-0004-0000-0200-000020000000}"/>
    <hyperlink ref="A45" r:id="rId34" xr:uid="{00000000-0004-0000-0200-000021000000}"/>
    <hyperlink ref="J53" r:id="rId35" xr:uid="{00000000-0004-0000-0200-000022000000}"/>
    <hyperlink ref="J66" r:id="rId36" xr:uid="{00000000-0004-0000-0200-000023000000}"/>
    <hyperlink ref="J76" r:id="rId37" xr:uid="{00000000-0004-0000-0200-00002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A1:N42"/>
  <sheetViews>
    <sheetView workbookViewId="0"/>
  </sheetViews>
  <sheetFormatPr defaultRowHeight="14"/>
  <cols>
    <col min="1" max="1" width="27.6328125" customWidth="1"/>
    <col min="2" max="2" width="0" hidden="1"/>
    <col min="3" max="3" width="13.1796875" hidden="1" customWidth="1"/>
  </cols>
  <sheetData>
    <row r="1" spans="1:10" ht="13">
      <c r="A1" s="4"/>
      <c r="B1" s="206">
        <v>2017</v>
      </c>
      <c r="C1" s="206">
        <v>2018</v>
      </c>
      <c r="D1" s="206">
        <v>2019</v>
      </c>
      <c r="E1" s="206">
        <v>2020</v>
      </c>
      <c r="F1" s="206">
        <v>2021</v>
      </c>
      <c r="G1" s="207" t="s">
        <v>572</v>
      </c>
    </row>
    <row r="2" spans="1:10" ht="13">
      <c r="A2" s="4" t="s">
        <v>472</v>
      </c>
      <c r="B2" s="208">
        <v>25974</v>
      </c>
      <c r="C2" s="208">
        <v>28228</v>
      </c>
      <c r="D2" s="208">
        <v>30733</v>
      </c>
      <c r="E2" s="208">
        <v>32189</v>
      </c>
      <c r="F2" s="208">
        <v>35128</v>
      </c>
      <c r="G2" s="208">
        <v>18463</v>
      </c>
      <c r="H2" s="4" t="s">
        <v>473</v>
      </c>
    </row>
    <row r="3" spans="1:10" ht="13">
      <c r="A3" s="4" t="s">
        <v>474</v>
      </c>
      <c r="B3" s="208">
        <f t="shared" ref="B3:G3" si="0">B2/7.18</f>
        <v>3617.5487465181059</v>
      </c>
      <c r="C3" s="208">
        <f t="shared" si="0"/>
        <v>3931.4763231197771</v>
      </c>
      <c r="D3" s="208">
        <f t="shared" si="0"/>
        <v>4280.3621169916432</v>
      </c>
      <c r="E3" s="208">
        <f t="shared" si="0"/>
        <v>4483.1476323119778</v>
      </c>
      <c r="F3" s="208">
        <f t="shared" si="0"/>
        <v>4892.4791086350979</v>
      </c>
      <c r="G3" s="208">
        <f t="shared" si="0"/>
        <v>2571.4484679665738</v>
      </c>
    </row>
    <row r="4" spans="1:10" ht="13">
      <c r="A4" s="4" t="s">
        <v>475</v>
      </c>
      <c r="B4" s="208">
        <f>B2/12</f>
        <v>2164.5</v>
      </c>
      <c r="C4" s="208">
        <f>C2/12</f>
        <v>2352.3333333333335</v>
      </c>
      <c r="D4" s="208">
        <f>D2/12</f>
        <v>2561.0833333333335</v>
      </c>
      <c r="E4" s="208">
        <f>E2/12</f>
        <v>2682.4166666666665</v>
      </c>
      <c r="F4" s="208">
        <f>F2/12</f>
        <v>2927.3333333333335</v>
      </c>
      <c r="G4" s="208">
        <f>G2/6</f>
        <v>3077.1666666666665</v>
      </c>
    </row>
    <row r="5" spans="1:10" ht="13">
      <c r="A5" s="4" t="s">
        <v>476</v>
      </c>
      <c r="B5" s="209">
        <f t="shared" ref="B5:G5" si="1">B4/7.18</f>
        <v>301.46239554317549</v>
      </c>
      <c r="C5" s="209">
        <f t="shared" si="1"/>
        <v>327.62302692664815</v>
      </c>
      <c r="D5" s="209">
        <f t="shared" si="1"/>
        <v>356.69684308263697</v>
      </c>
      <c r="E5" s="209">
        <f t="shared" si="1"/>
        <v>373.59563602599815</v>
      </c>
      <c r="F5" s="209">
        <f t="shared" si="1"/>
        <v>407.70659238625814</v>
      </c>
      <c r="G5" s="209">
        <f t="shared" si="1"/>
        <v>428.57474466109562</v>
      </c>
    </row>
    <row r="6" spans="1:10" ht="13">
      <c r="A6" s="4"/>
    </row>
    <row r="7" spans="1:10" ht="13">
      <c r="A7" s="4"/>
      <c r="B7" s="206">
        <v>2017</v>
      </c>
      <c r="C7" s="206">
        <v>2018</v>
      </c>
      <c r="D7" s="206">
        <v>2019</v>
      </c>
      <c r="E7" s="206">
        <v>2020</v>
      </c>
      <c r="F7" s="206">
        <v>2021</v>
      </c>
      <c r="G7" s="210" t="s">
        <v>477</v>
      </c>
    </row>
    <row r="8" spans="1:10" ht="13">
      <c r="A8" s="4" t="s">
        <v>478</v>
      </c>
      <c r="D8" s="208">
        <v>3267</v>
      </c>
      <c r="E8" s="208">
        <v>3983</v>
      </c>
      <c r="F8" s="208">
        <v>4982</v>
      </c>
      <c r="G8" s="208">
        <v>7097</v>
      </c>
    </row>
    <row r="9" spans="1:10" ht="13">
      <c r="A9" s="4" t="s">
        <v>479</v>
      </c>
      <c r="D9">
        <v>8.7200000000000006</v>
      </c>
      <c r="E9">
        <v>8.2899999999999991</v>
      </c>
      <c r="F9">
        <v>8.4</v>
      </c>
      <c r="G9">
        <v>8.69</v>
      </c>
    </row>
    <row r="10" spans="1:10" ht="13">
      <c r="A10" s="4" t="s">
        <v>480</v>
      </c>
      <c r="D10" s="208">
        <f>D8/D9</f>
        <v>374.65596330275224</v>
      </c>
      <c r="E10" s="208">
        <f>E8/E9</f>
        <v>480.45838359469246</v>
      </c>
      <c r="F10" s="208">
        <f>F8/F9</f>
        <v>593.09523809523807</v>
      </c>
      <c r="G10" s="208">
        <f>G8/G9</f>
        <v>816.68584579976994</v>
      </c>
    </row>
    <row r="11" spans="1:10" ht="13" hidden="1">
      <c r="A11" s="4" t="s">
        <v>481</v>
      </c>
      <c r="D11" s="23">
        <f>D10/D4</f>
        <v>0.14628807990215817</v>
      </c>
      <c r="E11" s="23">
        <f>E10/E4</f>
        <v>0.17911400177502593</v>
      </c>
      <c r="F11" s="23">
        <f>F10/F4</f>
        <v>0.20260597976380257</v>
      </c>
      <c r="G11" s="23">
        <f>G10/G4</f>
        <v>0.26540188890205385</v>
      </c>
    </row>
    <row r="12" spans="1:10" ht="13">
      <c r="A12" s="4" t="s">
        <v>482</v>
      </c>
      <c r="D12" s="45">
        <v>743</v>
      </c>
      <c r="E12" s="45">
        <v>980</v>
      </c>
      <c r="F12" s="45">
        <v>1496</v>
      </c>
      <c r="G12" s="45">
        <v>1750</v>
      </c>
    </row>
    <row r="13" spans="1:10" ht="13">
      <c r="A13" s="4" t="s">
        <v>483</v>
      </c>
      <c r="D13" s="23">
        <f>D12/D4</f>
        <v>0.29011160641655548</v>
      </c>
      <c r="E13" s="23">
        <f>E12/E4</f>
        <v>0.3653421976451583</v>
      </c>
      <c r="F13" s="23">
        <f>F12/F4</f>
        <v>0.51104531997267133</v>
      </c>
      <c r="G13" s="23">
        <f>G12/G4</f>
        <v>0.56870497752261284</v>
      </c>
      <c r="H13">
        <f>G13*0.8</f>
        <v>0.4549639820180903</v>
      </c>
    </row>
    <row r="15" spans="1:10" ht="13">
      <c r="A15" s="4"/>
      <c r="B15" s="208"/>
      <c r="C15" s="208"/>
      <c r="D15" s="206">
        <v>2019</v>
      </c>
      <c r="E15" s="206">
        <v>2020</v>
      </c>
      <c r="F15" s="206">
        <v>2021</v>
      </c>
      <c r="G15" s="210" t="s">
        <v>484</v>
      </c>
      <c r="H15" s="210" t="s">
        <v>485</v>
      </c>
      <c r="I15" s="210" t="s">
        <v>486</v>
      </c>
      <c r="J15" s="210" t="s">
        <v>487</v>
      </c>
    </row>
    <row r="16" spans="1:10" ht="13" hidden="1">
      <c r="A16" s="4" t="s">
        <v>488</v>
      </c>
      <c r="B16" s="208">
        <v>8116654691</v>
      </c>
      <c r="C16" s="208">
        <v>8818171237</v>
      </c>
      <c r="D16" s="208">
        <v>9569077969</v>
      </c>
      <c r="E16" s="208">
        <v>9499727610</v>
      </c>
      <c r="F16" s="208">
        <v>9862359617</v>
      </c>
      <c r="G16" s="208">
        <f>F16*1.059</f>
        <v>10444238834.403</v>
      </c>
      <c r="H16" s="211">
        <f>G16*1.064</f>
        <v>11112670119.804792</v>
      </c>
      <c r="I16" s="208">
        <f>H16*1.056</f>
        <v>11734979646.513861</v>
      </c>
      <c r="J16" s="208">
        <f>I16*1.053</f>
        <v>12356933567.779095</v>
      </c>
    </row>
    <row r="17" spans="1:12" ht="13" hidden="1">
      <c r="A17" s="4" t="s">
        <v>489</v>
      </c>
      <c r="B17" s="208">
        <v>264.7</v>
      </c>
      <c r="C17" s="208">
        <v>267.7</v>
      </c>
      <c r="D17" s="208">
        <v>270.60000000000002</v>
      </c>
      <c r="E17" s="208">
        <v>273.5</v>
      </c>
      <c r="F17" s="208">
        <v>276.39999999999998</v>
      </c>
      <c r="G17" s="209">
        <v>280.10000000000002</v>
      </c>
      <c r="H17" s="4"/>
    </row>
    <row r="18" spans="1:12" ht="13">
      <c r="A18" s="4" t="s">
        <v>490</v>
      </c>
      <c r="B18" s="208">
        <f>B16/B17</f>
        <v>30663599.134869665</v>
      </c>
      <c r="C18" s="208">
        <f>C16/C17</f>
        <v>32940497.710123274</v>
      </c>
      <c r="D18" s="208">
        <f>D16/D17</f>
        <v>35362446.300813004</v>
      </c>
      <c r="E18" s="208">
        <f>E16/E17</f>
        <v>34733921.791590497</v>
      </c>
      <c r="F18" s="208">
        <f>F16/F17</f>
        <v>35681474.735890016</v>
      </c>
      <c r="G18" s="208">
        <f>F18*1.059</f>
        <v>37786681.745307527</v>
      </c>
      <c r="H18" s="208">
        <f>G18*1.064</f>
        <v>40205029.377007209</v>
      </c>
      <c r="I18" s="208">
        <f>H18*1.056</f>
        <v>42456511.022119612</v>
      </c>
      <c r="J18" s="208">
        <f>I18*1.053</f>
        <v>44706706.10629195</v>
      </c>
      <c r="K18" s="4" t="s">
        <v>491</v>
      </c>
    </row>
    <row r="19" spans="1:12" ht="13">
      <c r="A19" s="4" t="s">
        <v>492</v>
      </c>
      <c r="B19" s="208">
        <f t="shared" ref="B19:J19" si="2">B18/14000</f>
        <v>2190.2570810621191</v>
      </c>
      <c r="C19" s="208">
        <f t="shared" si="2"/>
        <v>2352.8926935802338</v>
      </c>
      <c r="D19" s="208">
        <f t="shared" si="2"/>
        <v>2525.8890214866433</v>
      </c>
      <c r="E19" s="208">
        <f t="shared" si="2"/>
        <v>2480.9944136850354</v>
      </c>
      <c r="F19" s="208">
        <f t="shared" si="2"/>
        <v>2548.6767668492867</v>
      </c>
      <c r="G19" s="208">
        <f t="shared" si="2"/>
        <v>2699.0486960933949</v>
      </c>
      <c r="H19" s="208">
        <f t="shared" si="2"/>
        <v>2871.787812643372</v>
      </c>
      <c r="I19" s="208">
        <f t="shared" si="2"/>
        <v>3032.607930151401</v>
      </c>
      <c r="J19" s="208">
        <f t="shared" si="2"/>
        <v>3193.3361504494251</v>
      </c>
      <c r="L19" s="4"/>
    </row>
    <row r="20" spans="1:12" ht="13">
      <c r="A20" s="4" t="s">
        <v>493</v>
      </c>
      <c r="B20" s="208">
        <f t="shared" ref="B20:J20" si="3">B18/12</f>
        <v>2555299.9279058054</v>
      </c>
      <c r="C20" s="208">
        <f t="shared" si="3"/>
        <v>2745041.4758436061</v>
      </c>
      <c r="D20" s="208">
        <f t="shared" si="3"/>
        <v>2946870.5250677504</v>
      </c>
      <c r="E20" s="208">
        <f t="shared" si="3"/>
        <v>2894493.4826325416</v>
      </c>
      <c r="F20" s="208">
        <f t="shared" si="3"/>
        <v>2973456.2279908345</v>
      </c>
      <c r="G20" s="208">
        <f t="shared" si="3"/>
        <v>3148890.145442294</v>
      </c>
      <c r="H20" s="208">
        <f t="shared" si="3"/>
        <v>3350419.1147506009</v>
      </c>
      <c r="I20" s="208">
        <f t="shared" si="3"/>
        <v>3538042.5851766341</v>
      </c>
      <c r="J20" s="208">
        <f t="shared" si="3"/>
        <v>3725558.8421909958</v>
      </c>
    </row>
    <row r="21" spans="1:12" ht="13">
      <c r="A21" s="4" t="s">
        <v>494</v>
      </c>
      <c r="B21" s="209">
        <f t="shared" ref="B21:J21" si="4">B20/14000</f>
        <v>182.52142342184325</v>
      </c>
      <c r="C21" s="209">
        <f t="shared" si="4"/>
        <v>196.07439113168616</v>
      </c>
      <c r="D21" s="209">
        <f t="shared" si="4"/>
        <v>210.49075179055359</v>
      </c>
      <c r="E21" s="209">
        <f t="shared" si="4"/>
        <v>206.74953447375296</v>
      </c>
      <c r="F21" s="209">
        <f t="shared" si="4"/>
        <v>212.38973057077391</v>
      </c>
      <c r="G21" s="209">
        <f t="shared" si="4"/>
        <v>224.92072467444956</v>
      </c>
      <c r="H21" s="209">
        <f t="shared" si="4"/>
        <v>239.31565105361435</v>
      </c>
      <c r="I21" s="209">
        <f t="shared" si="4"/>
        <v>252.71732751261672</v>
      </c>
      <c r="J21" s="209">
        <f t="shared" si="4"/>
        <v>266.11134587078544</v>
      </c>
    </row>
    <row r="22" spans="1:12" ht="13">
      <c r="B22" s="13">
        <f>B5/B21</f>
        <v>1.6516548572297511</v>
      </c>
      <c r="C22" s="13">
        <f>C5/C21</f>
        <v>1.6709118668465592</v>
      </c>
      <c r="D22" s="13"/>
      <c r="E22" s="13"/>
      <c r="F22" s="209"/>
      <c r="G22" s="209">
        <f>G19*3.9</f>
        <v>10526.28991476424</v>
      </c>
    </row>
    <row r="23" spans="1:12" ht="13">
      <c r="A23" s="4"/>
      <c r="D23" s="23"/>
      <c r="E23" s="23"/>
      <c r="F23" s="23"/>
      <c r="H23" s="4"/>
      <c r="I23" s="4"/>
      <c r="J23" s="4"/>
    </row>
    <row r="24" spans="1:12" ht="13">
      <c r="A24" s="4"/>
      <c r="D24" s="207" t="s">
        <v>573</v>
      </c>
      <c r="E24" s="207" t="s">
        <v>574</v>
      </c>
      <c r="F24" s="207" t="s">
        <v>575</v>
      </c>
    </row>
    <row r="25" spans="1:12" ht="13">
      <c r="A25" s="4" t="s">
        <v>495</v>
      </c>
      <c r="D25" s="6">
        <v>3.4</v>
      </c>
      <c r="E25" s="45">
        <v>3.9</v>
      </c>
      <c r="F25" s="45">
        <v>4.5999999999999996</v>
      </c>
    </row>
    <row r="26" spans="1:12" ht="13">
      <c r="A26" s="4" t="s">
        <v>496</v>
      </c>
      <c r="D26" s="212">
        <v>1</v>
      </c>
      <c r="E26" s="213">
        <v>0.85</v>
      </c>
      <c r="F26" s="212">
        <v>0.7</v>
      </c>
    </row>
    <row r="27" spans="1:12" ht="13">
      <c r="D27" s="6"/>
    </row>
    <row r="28" spans="1:12" ht="13" hidden="1">
      <c r="A28" s="4" t="s">
        <v>497</v>
      </c>
      <c r="D28" s="214">
        <f>H21*$G$11*D25</f>
        <v>215.95040783374372</v>
      </c>
      <c r="E28" s="214">
        <f>I21*$G$11*E25</f>
        <v>261.57945871249706</v>
      </c>
      <c r="F28" s="214">
        <f>J21*$G$11*F25</f>
        <v>324.88168772092143</v>
      </c>
    </row>
    <row r="29" spans="1:12" ht="13">
      <c r="A29" s="4" t="s">
        <v>498</v>
      </c>
      <c r="D29" s="215">
        <f>$F$13*H21*D25/(D26/12*D25+1)</f>
        <v>324.01861386105395</v>
      </c>
      <c r="E29" s="215">
        <f>$F$13*I21*E25/(E26/12*E25+1)</f>
        <v>394.66016004322188</v>
      </c>
      <c r="F29" s="215">
        <f>$F$13*J21*F25/(F26/12*F25+1)</f>
        <v>493.22744257680256</v>
      </c>
      <c r="G29" s="4"/>
    </row>
    <row r="30" spans="1:12" ht="13">
      <c r="D30" s="209"/>
      <c r="E30" s="209"/>
      <c r="F30" s="209"/>
    </row>
    <row r="31" spans="1:12" ht="13">
      <c r="H31" s="216"/>
    </row>
    <row r="32" spans="1:12" ht="13">
      <c r="H32" s="4"/>
    </row>
    <row r="33" spans="4:14" ht="13">
      <c r="D33" s="6" t="s">
        <v>576</v>
      </c>
      <c r="E33" s="6" t="s">
        <v>577</v>
      </c>
      <c r="H33" s="4"/>
      <c r="I33" s="4" t="s">
        <v>499</v>
      </c>
      <c r="J33" s="4" t="s">
        <v>500</v>
      </c>
      <c r="K33" s="4" t="s">
        <v>501</v>
      </c>
      <c r="L33" s="4" t="s">
        <v>502</v>
      </c>
      <c r="M33" s="4" t="s">
        <v>503</v>
      </c>
    </row>
    <row r="34" spans="4:14" ht="13">
      <c r="D34" s="6" t="s">
        <v>578</v>
      </c>
      <c r="E34" s="208">
        <v>12556</v>
      </c>
      <c r="F34" s="213">
        <f>E40/E34</f>
        <v>0.38965268466351527</v>
      </c>
      <c r="H34" s="4"/>
      <c r="I34" s="4" t="s">
        <v>504</v>
      </c>
      <c r="J34" s="217">
        <v>19586.5</v>
      </c>
      <c r="K34" s="217">
        <v>18277.8</v>
      </c>
      <c r="L34" s="217">
        <v>18312</v>
      </c>
      <c r="M34" s="217">
        <v>18356.099999999999</v>
      </c>
      <c r="N34" s="4" t="s">
        <v>505</v>
      </c>
    </row>
    <row r="35" spans="4:14" ht="13">
      <c r="D35" s="6" t="s">
        <v>579</v>
      </c>
      <c r="E35" s="208">
        <v>4292</v>
      </c>
      <c r="F35">
        <f>E34/E35</f>
        <v>2.9254426840633738</v>
      </c>
      <c r="I35" s="4" t="s">
        <v>506</v>
      </c>
      <c r="J35" s="218">
        <v>331949</v>
      </c>
      <c r="K35" s="218">
        <v>332021</v>
      </c>
      <c r="L35" s="218">
        <v>332297</v>
      </c>
      <c r="M35" s="218">
        <v>332584</v>
      </c>
      <c r="N35" s="4" t="s">
        <v>507</v>
      </c>
    </row>
    <row r="36" spans="4:14" ht="13">
      <c r="D36" s="6" t="s">
        <v>580</v>
      </c>
      <c r="E36" s="208">
        <v>69287.5</v>
      </c>
      <c r="F36" s="219">
        <f>E36/E34</f>
        <v>5.5182781140490604</v>
      </c>
      <c r="I36" s="4" t="s">
        <v>508</v>
      </c>
      <c r="J36" s="153">
        <f>J34/J35*1000*1000</f>
        <v>59004.545879035635</v>
      </c>
      <c r="K36" s="153">
        <f>K34/K35*1000*1000</f>
        <v>55050.132371145199</v>
      </c>
      <c r="L36" s="153">
        <f>L34/L35*1000*1000</f>
        <v>55107.328684881293</v>
      </c>
      <c r="M36" s="153">
        <f>M34/M35*1000*1000</f>
        <v>55192.372453274955</v>
      </c>
      <c r="N36" s="4" t="s">
        <v>509</v>
      </c>
    </row>
    <row r="39" spans="4:14" ht="13">
      <c r="D39" s="6" t="s">
        <v>581</v>
      </c>
      <c r="E39" s="6" t="s">
        <v>577</v>
      </c>
    </row>
    <row r="40" spans="4:14" ht="13">
      <c r="D40" s="6" t="s">
        <v>578</v>
      </c>
      <c r="E40" s="208">
        <f>F2/7.18</f>
        <v>4892.4791086350979</v>
      </c>
      <c r="F40" s="6"/>
    </row>
    <row r="41" spans="4:14" ht="13">
      <c r="D41" s="6" t="s">
        <v>579</v>
      </c>
      <c r="E41" s="208">
        <v>2548.6767668492898</v>
      </c>
      <c r="F41" s="213">
        <f>E41/E35</f>
        <v>0.59382030914475536</v>
      </c>
    </row>
    <row r="42" spans="4:14" ht="13">
      <c r="D42" s="6" t="s">
        <v>580</v>
      </c>
      <c r="E42" s="153">
        <v>56088</v>
      </c>
      <c r="F42" s="22">
        <f>E42/E40</f>
        <v>11.464126622637211</v>
      </c>
      <c r="G42" s="213">
        <f>E42/E36</f>
        <v>0.80949666245715313</v>
      </c>
    </row>
  </sheetData>
  <phoneticPr fontId="5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P2P- Major Player Tracking</vt:lpstr>
      <vt:lpstr>P2P-Tadpole Tracking</vt:lpstr>
      <vt:lpstr>MF Tracking</vt:lpstr>
      <vt:lpstr>model-wp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张伯楠-Rafael</dc:creator>
  <cp:lastModifiedBy>张伯楠-Rafael</cp:lastModifiedBy>
  <dcterms:created xsi:type="dcterms:W3CDTF">2026-05-25T17:16:56Z</dcterms:created>
  <dcterms:modified xsi:type="dcterms:W3CDTF">2026-05-25T09:45:02Z</dcterms:modified>
</cp:coreProperties>
</file>