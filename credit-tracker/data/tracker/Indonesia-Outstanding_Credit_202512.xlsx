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信贷市场测算-月度" sheetId="1" state="visible" r:id="rId3"/>
    <sheet name="信贷市场测算-年度" sheetId="2" state="hidden" r:id="rId4"/>
    <sheet name="底稿source li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D12" authorId="0">
      <text>
        <r>
          <rPr>
            <sz val="10"/>
            <rFont val="Noto Sans CJK SC"/>
            <family val="2"/>
          </rPr>
          <t xml:space="preserve">最新数据到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Noto Sans CJK SC"/>
            <family val="2"/>
          </rPr>
          <t xml:space="preserve">月</t>
        </r>
        <r>
          <rPr>
            <sz val="10"/>
            <rFont val="Arial"/>
            <family val="2"/>
          </rPr>
          <t xml:space="preserve">2025</t>
        </r>
      </text>
    </comment>
    <comment ref="AD20" authorId="0">
      <text>
        <r>
          <rPr>
            <sz val="10"/>
            <rFont val="Noto Sans CJK SC"/>
            <family val="2"/>
          </rPr>
          <t xml:space="preserve">数据更新至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Noto Sans CJK SC"/>
            <family val="2"/>
          </rPr>
          <t xml:space="preserve">月，最新数据还未更新 </t>
        </r>
        <r>
          <rPr>
            <sz val="10"/>
            <rFont val="Arial"/>
            <family val="2"/>
          </rPr>
          <t xml:space="preserve">(14Jan2026)</t>
        </r>
      </text>
    </comment>
    <comment ref="AE4" authorId="0">
      <text>
        <r>
          <rPr>
            <sz val="10"/>
            <rFont val="Arial"/>
            <family val="2"/>
          </rPr>
          <t xml:space="preserve">10/11</t>
        </r>
        <r>
          <rPr>
            <sz val="10"/>
            <rFont val="Noto Sans CJK SC"/>
            <family val="2"/>
          </rPr>
          <t xml:space="preserve">月数据为</t>
        </r>
        <r>
          <rPr>
            <sz val="10"/>
            <rFont val="Arial"/>
            <family val="2"/>
          </rPr>
          <t xml:space="preserve">forecasted values</t>
        </r>
      </text>
    </comment>
  </commentList>
</comments>
</file>

<file path=xl/sharedStrings.xml><?xml version="1.0" encoding="utf-8"?>
<sst xmlns="http://schemas.openxmlformats.org/spreadsheetml/2006/main" count="100" uniqueCount="75">
  <si>
    <t xml:space="preserve">Summary</t>
  </si>
  <si>
    <t xml:space="preserve">为保证可比性，汇率统一使用usd to idr =1：15000</t>
  </si>
  <si>
    <t xml:space="preserve">USD Bn</t>
  </si>
  <si>
    <t xml:space="preserve">2023.10</t>
  </si>
  <si>
    <t xml:space="preserve">2024.10</t>
  </si>
  <si>
    <t xml:space="preserve">2024.11</t>
  </si>
  <si>
    <t xml:space="preserve">2024.12</t>
  </si>
  <si>
    <t xml:space="preserve">2025.1 </t>
  </si>
  <si>
    <t xml:space="preserve">2025.02 </t>
  </si>
  <si>
    <t xml:space="preserve">2025.03 </t>
  </si>
  <si>
    <t xml:space="preserve">2025.04 </t>
  </si>
  <si>
    <t xml:space="preserve">2025.05 </t>
  </si>
  <si>
    <t xml:space="preserve">2025.06 </t>
  </si>
  <si>
    <t xml:space="preserve">2025.07 </t>
  </si>
  <si>
    <t xml:space="preserve">2025.08 </t>
  </si>
  <si>
    <t xml:space="preserve">2025.09 </t>
  </si>
  <si>
    <t xml:space="preserve">2025.10 </t>
  </si>
  <si>
    <t xml:space="preserve">2025.11 </t>
  </si>
  <si>
    <t xml:space="preserve">2025.12 </t>
  </si>
  <si>
    <t xml:space="preserve">Bank-outstanding: Vehicles</t>
  </si>
  <si>
    <t xml:space="preserve">Bank-outstanding: Multipurpose</t>
  </si>
  <si>
    <t xml:space="preserve">Bank-outstanding: BNPL</t>
  </si>
  <si>
    <t xml:space="preserve">Bank-outstanding: Others</t>
  </si>
  <si>
    <t xml:space="preserve">MF-outstanding: Vehicles (2W)</t>
  </si>
  <si>
    <r>
      <rPr>
        <i val="true"/>
        <sz val="10"/>
        <color rgb="FF000000"/>
        <rFont val="等线"/>
        <family val="0"/>
        <charset val="134"/>
      </rPr>
      <t xml:space="preserve">MF-outstanding: Vehicles (4W,1617</t>
    </r>
    <r>
      <rPr>
        <i val="true"/>
        <sz val="10"/>
        <color rgb="FF000000"/>
        <rFont val="Noto Sans CJK SC"/>
        <family val="2"/>
      </rPr>
      <t xml:space="preserve">含</t>
    </r>
    <r>
      <rPr>
        <i val="true"/>
        <sz val="10"/>
        <color rgb="FF000000"/>
        <rFont val="等线"/>
        <family val="0"/>
        <charset val="134"/>
      </rPr>
      <t xml:space="preserve">2W)</t>
    </r>
  </si>
  <si>
    <r>
      <rPr>
        <i val="true"/>
        <sz val="10"/>
        <color rgb="FF000000"/>
        <rFont val="等线"/>
        <family val="0"/>
        <charset val="134"/>
      </rPr>
      <t xml:space="preserve">MF-outstanding: Multipurpose</t>
    </r>
    <r>
      <rPr>
        <i val="true"/>
        <sz val="10"/>
        <color rgb="FF000000"/>
        <rFont val="Noto Sans CJK SC"/>
        <family val="2"/>
      </rPr>
      <t xml:space="preserve">不含车</t>
    </r>
  </si>
  <si>
    <t xml:space="preserve">MF-outstanding: BNPL</t>
  </si>
  <si>
    <t xml:space="preserve">P2P-outstanding</t>
  </si>
  <si>
    <t xml:space="preserve">印尼消费信贷余额（含车不含房）</t>
  </si>
  <si>
    <t xml:space="preserve">印尼消费信贷余额（不含车不含房）</t>
  </si>
  <si>
    <t xml:space="preserve">印尼狭义消金（非银机构，不含车不含房）</t>
  </si>
  <si>
    <t xml:space="preserve">目标一：预测印尼26E消费信贷余额（含车不含房）</t>
  </si>
  <si>
    <t xml:space="preserve">方法一：以 loan to GDP 对标中国水平</t>
  </si>
  <si>
    <t xml:space="preserve">假设：22年印尼消费信贷（含车不含房）/GDP比值7.4%约等于中国2015-2016水平，假设2025-2026年印尼消费信贷（含车不含房）/GDP 与中国2017年持平，则</t>
  </si>
  <si>
    <t xml:space="preserve">2024E</t>
  </si>
  <si>
    <t xml:space="preserve">2025E</t>
  </si>
  <si>
    <t xml:space="preserve">2026E</t>
  </si>
  <si>
    <t xml:space="preserve">2027E</t>
  </si>
  <si>
    <t xml:space="preserve">2028E</t>
  </si>
  <si>
    <t xml:space="preserve">可调假设</t>
  </si>
  <si>
    <t xml:space="preserve">印尼GDP</t>
  </si>
  <si>
    <t xml:space="preserve">2018-2022 world bank data, 2023-2025 wold bank forecast gdp growth 4.9%</t>
  </si>
  <si>
    <t xml:space="preserve">印尼社零</t>
  </si>
  <si>
    <t xml:space="preserve">印尼消费信贷，含车不含房余额/GDP</t>
  </si>
  <si>
    <t xml:space="preserve">约等于中国2015-2016水平6.7%-8.1%</t>
  </si>
  <si>
    <t xml:space="preserve">中国2016-2017水平</t>
  </si>
  <si>
    <t xml:space="preserve">中国2017水平</t>
  </si>
  <si>
    <t xml:space="preserve">中国2017-2018水平</t>
  </si>
  <si>
    <t xml:space="preserve">中国2018水平</t>
  </si>
  <si>
    <t xml:space="preserve">印尼消费信贷，不含车不含房余额/GDP</t>
  </si>
  <si>
    <t xml:space="preserve">印尼消费信贷，不含车不含房余额/社零</t>
  </si>
  <si>
    <t xml:space="preserve">印尼消费信贷余额预测（含车不含房）</t>
  </si>
  <si>
    <t xml:space="preserve">印尼消费信贷余额预测（不含车不含房）</t>
  </si>
  <si>
    <t xml:space="preserve">中国消费信贷余额（含车不含房）</t>
  </si>
  <si>
    <t xml:space="preserve">中国消费信贷余额（不含车不含房）</t>
  </si>
  <si>
    <t xml:space="preserve">不含车信贷余额/含车信贷余额</t>
  </si>
  <si>
    <r>
      <rPr>
        <sz val="10"/>
        <color rgb="FF000000"/>
        <rFont val="等线"/>
        <family val="0"/>
        <charset val="134"/>
      </rPr>
      <t xml:space="preserve">360 22</t>
    </r>
    <r>
      <rPr>
        <sz val="10"/>
        <color rgb="FF000000"/>
        <rFont val="Noto Sans CJK SC"/>
        <family val="2"/>
      </rPr>
      <t xml:space="preserve">年市占率</t>
    </r>
  </si>
  <si>
    <t xml:space="preserve">中国GDP</t>
  </si>
  <si>
    <t xml:space="preserve">中国社零</t>
  </si>
  <si>
    <t xml:space="preserve">中国消费信贷，含车余额/GDP</t>
  </si>
  <si>
    <t xml:space="preserve">中国消费信贷，不含车余额/GDP</t>
  </si>
  <si>
    <t xml:space="preserve">中国消费信贷，不含车余额/社零</t>
  </si>
  <si>
    <t xml:space="preserve">方法二：分模块预测余额</t>
  </si>
  <si>
    <t xml:space="preserve">假设：23-28年印尼金融机构Multipurpose loan余额增速保持18-22年水平，但不低于GDP增速；P2P余额增速23-26保持21-22年水平（与Bain forecast cross check），26-28 30%；其余消费信贷增速与GDP保持一致，则</t>
  </si>
  <si>
    <t xml:space="preserve">2029E</t>
  </si>
  <si>
    <t xml:space="preserve">2030E</t>
  </si>
  <si>
    <t xml:space="preserve">假设增速</t>
  </si>
  <si>
    <t xml:space="preserve">印尼MF场景+二轮</t>
  </si>
  <si>
    <t xml:space="preserve">数据源记录</t>
  </si>
  <si>
    <t xml:space="preserve">数据源：BI每月的SSKI Report
https://www.bi.go.id/id/statistik/ekonomi-keuangan/sski/default.aspx
sheet 17</t>
  </si>
  <si>
    <t xml:space="preserve">数据源：
https://www.ojk.go.id/id/kanal/iknb/data-dan-statistik/lembaga-pembiayaan/Default.aspx
Vehicles(2W):PP9 34-35（更新34-41）;Vehicles(4W):PP9 36-37（更新：42-49）; Multipurpose: Sheet PP9 50~57行(更新：62-69)</t>
  </si>
  <si>
    <r>
      <rPr>
        <i val="true"/>
        <sz val="10"/>
        <color rgb="FF000000"/>
        <rFont val="等线"/>
        <family val="0"/>
        <charset val="134"/>
      </rPr>
      <t xml:space="preserve">MF-outstanding: Multipurpose</t>
    </r>
    <r>
      <rPr>
        <i val="true"/>
        <sz val="10"/>
        <color rgb="FF000000"/>
        <rFont val="Noto Sans CJK SC"/>
        <family val="2"/>
      </rPr>
      <t xml:space="preserve">，消费类</t>
    </r>
  </si>
  <si>
    <t xml:space="preserve">数据源：OJK每月的Fintech Lending统计
https://www.ojk.go.id/id/kanal/iknb/data-dan-statistik/fintech/Default.aspx
sheet9</t>
  </si>
  <si>
    <r>
      <rPr>
        <sz val="10"/>
        <color theme="1"/>
        <rFont val="等线"/>
        <family val="2"/>
        <charset val="134"/>
      </rPr>
      <t xml:space="preserve">MF/bank BNPL</t>
    </r>
    <r>
      <rPr>
        <sz val="10"/>
        <color theme="1"/>
        <rFont val="Noto Sans CJK SC"/>
        <family val="2"/>
      </rPr>
      <t xml:space="preserve">数据</t>
    </r>
  </si>
  <si>
    <t xml:space="preserve">OJK官网-发布-新闻稿：找到每月的理事会议i结果，https://www.ojk.go.id/id/berita-dan-kegiatan/siaran-pers/Default.aspx
*usually the news with screenshot of "zoom" meeting setting/title monthly board meeting - title "hasil rapat dewan komisioner bulanan" --&gt; search BNPL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</si>
</sst>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_ "/>
    <numFmt numFmtId="166" formatCode="@"/>
    <numFmt numFmtId="167" formatCode="#,##0\ "/>
    <numFmt numFmtId="168" formatCode="#,##0"/>
    <numFmt numFmtId="169" formatCode="0.00%"/>
    <numFmt numFmtId="170" formatCode="_ * #,##0.0_ ;_ * \-#,##0.0_ "/>
    <numFmt numFmtId="171" formatCode="_ * #,##0_ ;_ * \-#,##0_ ;_ * \-_ ;_ @_ "/>
    <numFmt numFmtId="172" formatCode="_(* #,##0_);_(* \(#,##0\);_(* \-_);_(@_)"/>
    <numFmt numFmtId="173" formatCode="0.0"/>
    <numFmt numFmtId="174" formatCode="0.0%"/>
    <numFmt numFmtId="175" formatCode="0%"/>
    <numFmt numFmtId="176" formatCode="#,##0.00_ "/>
    <numFmt numFmtId="177" formatCode="0.0_ "/>
    <numFmt numFmtId="178" formatCode="#,##0.00"/>
    <numFmt numFmtId="179" formatCode="General"/>
  </numFmts>
  <fonts count="40">
    <font>
      <sz val="10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等线"/>
      <family val="0"/>
      <charset val="134"/>
    </font>
    <font>
      <b val="true"/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Noto Sans CJK SC"/>
      <family val="2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FFFFFF"/>
      <name val="等线"/>
      <family val="0"/>
      <charset val="134"/>
    </font>
    <font>
      <sz val="10"/>
      <name val="Arial"/>
      <family val="0"/>
      <charset val="1"/>
    </font>
    <font>
      <i val="true"/>
      <sz val="10"/>
      <color rgb="FF000000"/>
      <name val="等线"/>
      <family val="0"/>
      <charset val="134"/>
    </font>
    <font>
      <sz val="11"/>
      <name val="Frutiger 45 Light"/>
      <family val="0"/>
      <charset val="1"/>
    </font>
    <font>
      <sz val="10"/>
      <name val="等线"/>
      <family val="3"/>
      <charset val="134"/>
    </font>
    <font>
      <i val="true"/>
      <sz val="10"/>
      <color rgb="FF000000"/>
      <name val="等线"/>
      <family val="3"/>
      <charset val="134"/>
    </font>
    <font>
      <sz val="11"/>
      <name val="等线"/>
      <family val="3"/>
      <charset val="134"/>
    </font>
    <font>
      <i val="true"/>
      <sz val="10"/>
      <color rgb="FF000000"/>
      <name val="Noto Sans CJK SC"/>
      <family val="2"/>
    </font>
    <font>
      <i val="true"/>
      <sz val="10"/>
      <name val="等线"/>
      <family val="0"/>
      <charset val="134"/>
    </font>
    <font>
      <b val="true"/>
      <sz val="10"/>
      <color rgb="FFFF0000"/>
      <name val="等线"/>
      <family val="0"/>
      <charset val="134"/>
    </font>
    <font>
      <sz val="1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等线"/>
      <family val="3"/>
      <charset val="134"/>
    </font>
    <font>
      <b val="true"/>
      <sz val="10"/>
      <color rgb="FF000000"/>
      <name val="等线"/>
      <family val="0"/>
      <charset val="134"/>
    </font>
    <font>
      <sz val="10"/>
      <name val="Noto Sans CJK SC"/>
      <family val="2"/>
    </font>
    <font>
      <sz val="10"/>
      <name val="Arial"/>
      <family val="2"/>
    </font>
    <font>
      <b val="true"/>
      <sz val="10"/>
      <color rgb="FF000000"/>
      <name val="Noto Sans CJK SC"/>
      <family val="2"/>
      <charset val="1"/>
    </font>
    <font>
      <u val="single"/>
      <sz val="10"/>
      <color rgb="FF267EF0"/>
      <name val="等线"/>
      <family val="0"/>
      <charset val="134"/>
    </font>
    <font>
      <sz val="10"/>
      <color rgb="FF000000"/>
      <name val="Arial"/>
      <family val="0"/>
      <charset val="1"/>
    </font>
    <font>
      <i val="true"/>
      <sz val="10"/>
      <color rgb="FF7F7F7F"/>
      <name val="等线"/>
      <family val="0"/>
      <charset val="134"/>
    </font>
    <font>
      <i val="true"/>
      <sz val="10"/>
      <color rgb="FF7F7F7F"/>
      <name val="Noto Sans CJK SC"/>
      <family val="2"/>
      <charset val="1"/>
    </font>
    <font>
      <b val="true"/>
      <i val="true"/>
      <sz val="10"/>
      <color rgb="FF9D9D9D"/>
      <name val="等线"/>
      <family val="0"/>
      <charset val="134"/>
    </font>
    <font>
      <sz val="10"/>
      <color rgb="FF000000"/>
      <name val="Noto Sans CJK SC"/>
      <family val="2"/>
    </font>
    <font>
      <i val="true"/>
      <sz val="10"/>
      <color rgb="FFFF0000"/>
      <name val="等线"/>
      <family val="0"/>
      <charset val="134"/>
    </font>
    <font>
      <b val="true"/>
      <sz val="10"/>
      <name val="Arial"/>
      <family val="0"/>
      <charset val="1"/>
    </font>
    <font>
      <b val="true"/>
      <i val="true"/>
      <sz val="10"/>
      <color rgb="FFFFFFFF"/>
      <name val="Noto Sans CJK SC"/>
      <family val="2"/>
      <charset val="1"/>
    </font>
    <font>
      <u val="single"/>
      <sz val="10"/>
      <color rgb="FF267EF0"/>
      <name val="Noto Sans CJK SC"/>
      <family val="2"/>
      <charset val="1"/>
    </font>
    <font>
      <sz val="10"/>
      <color rgb="FF267EF0"/>
      <name val="Noto Sans CJK SC"/>
      <family val="2"/>
      <charset val="1"/>
    </font>
    <font>
      <sz val="10"/>
      <color theme="1"/>
      <name val="Noto Sans CJK SC"/>
      <family val="2"/>
    </font>
    <font>
      <sz val="10"/>
      <color rgb="FF0000FF"/>
      <name val="等线"/>
      <family val="0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CC0000"/>
      </patternFill>
    </fill>
    <fill>
      <patternFill patternType="solid">
        <fgColor rgb="FFCC0000"/>
        <bgColor rgb="FFC00000"/>
      </patternFill>
    </fill>
    <fill>
      <patternFill patternType="solid">
        <fgColor rgb="FFE9E9E9"/>
        <bgColor rgb="FFE5F6FF"/>
      </patternFill>
    </fill>
    <fill>
      <patternFill patternType="solid">
        <fgColor rgb="FFFFFF00"/>
        <bgColor rgb="FFFFFF00"/>
      </patternFill>
    </fill>
    <fill>
      <patternFill patternType="solid">
        <fgColor rgb="FFDFF8FF"/>
        <bgColor rgb="FFE5F6FF"/>
      </patternFill>
    </fill>
    <fill>
      <patternFill patternType="solid">
        <fgColor rgb="FFE5F6FF"/>
        <bgColor rgb="FFDFF8FF"/>
      </patternFill>
    </fill>
    <fill>
      <patternFill patternType="solid">
        <fgColor rgb="FFFFE1B2"/>
        <bgColor rgb="FFE9E9E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23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0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1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8" fillId="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3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3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1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18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5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E9E9E9"/>
      <rgbColor rgb="FFDFF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E5F6FF"/>
      <rgbColor rgb="FFCCFFCC"/>
      <rgbColor rgb="FFFFFF99"/>
      <rgbColor rgb="FF99CCFF"/>
      <rgbColor rgb="FFFF99CC"/>
      <rgbColor rgb="FFCC99FF"/>
      <rgbColor rgb="FFFFE1B2"/>
      <rgbColor rgb="FF267EF0"/>
      <rgbColor rgb="FF33CCCC"/>
      <rgbColor rgb="FF92D050"/>
      <rgbColor rgb="FFFFCC00"/>
      <rgbColor rgb="FFFF9900"/>
      <rgbColor rgb="FFFF6600"/>
      <rgbColor rgb="FF666699"/>
      <rgbColor rgb="FF9D9D9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 pitchFamily="0" charset="1"/>
        <a:ea typeface=""/>
        <a:cs typeface=""/>
      </a:majorFont>
      <a:minorFont>
        <a:latin typeface="等线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bi.go.id/id/statistik/ekonomi-keuangan/sski/default.aspx" TargetMode="External"/><Relationship Id="rId2" Type="http://schemas.openxmlformats.org/officeDocument/2006/relationships/hyperlink" Target="https://www.ojk.go.id/id/kanal/iknb/data-dan-statistik/fintech/Default.aspx" TargetMode="External"/><Relationship Id="rId3" Type="http://schemas.openxmlformats.org/officeDocument/2006/relationships/hyperlink" Target="https://www.ojk.go.id/id/berita-dan-kegiatan/siaran-pers/Default.asp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S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B5" activeCellId="0" sqref="B5"/>
    </sheetView>
  </sheetViews>
  <sheetFormatPr defaultColWidth="8.59375" defaultRowHeight="12.75" zeroHeight="false" outlineLevelRow="0" outlineLevelCol="0"/>
  <cols>
    <col collapsed="false" customWidth="true" hidden="false" outlineLevel="0" max="1" min="1" style="1" width="5.82"/>
    <col collapsed="false" customWidth="true" hidden="false" outlineLevel="0" max="2" min="2" style="1" width="46.9"/>
    <col collapsed="false" customWidth="true" hidden="false" outlineLevel="0" max="8" min="3" style="1" width="14.46"/>
    <col collapsed="false" customWidth="true" hidden="false" outlineLevel="0" max="9" min="9" style="1" width="16.63"/>
    <col collapsed="false" customWidth="true" hidden="false" outlineLevel="0" max="34" min="10" style="1" width="14.46"/>
    <col collapsed="false" customWidth="true" hidden="false" outlineLevel="0" max="35" min="35" style="1" width="16.63"/>
    <col collapsed="false" customWidth="true" hidden="false" outlineLevel="0" max="36" min="36" style="1" width="69.63"/>
    <col collapsed="false" customWidth="true" hidden="false" outlineLevel="0" max="42" min="37" style="1" width="14.46"/>
  </cols>
  <sheetData>
    <row r="1" customFormat="false" ht="12.75" hidden="false" customHeight="true" outlineLevel="0" collapsed="false">
      <c r="A1" s="2"/>
      <c r="B1" s="3" t="s">
        <v>0</v>
      </c>
      <c r="C1" s="4"/>
      <c r="D1" s="2"/>
      <c r="E1" s="4"/>
      <c r="F1" s="4"/>
      <c r="G1" s="2"/>
      <c r="H1" s="2"/>
      <c r="I1" s="2"/>
      <c r="J1" s="5"/>
      <c r="K1" s="5"/>
      <c r="L1" s="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2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customFormat="false" ht="12.75" hidden="false" customHeight="true" outlineLevel="0" collapsed="false">
      <c r="A3" s="2"/>
      <c r="B3" s="8" t="s">
        <v>2</v>
      </c>
      <c r="C3" s="9" t="n">
        <v>2023.3</v>
      </c>
      <c r="D3" s="10" t="n">
        <v>2023.4</v>
      </c>
      <c r="E3" s="10" t="n">
        <v>2023.5</v>
      </c>
      <c r="F3" s="10" t="n">
        <v>2023.6</v>
      </c>
      <c r="G3" s="10" t="n">
        <v>2023.7</v>
      </c>
      <c r="H3" s="10" t="n">
        <v>2023.8</v>
      </c>
      <c r="I3" s="10" t="n">
        <v>2023.9</v>
      </c>
      <c r="J3" s="11" t="s">
        <v>3</v>
      </c>
      <c r="K3" s="10" t="n">
        <v>2023.11</v>
      </c>
      <c r="L3" s="10" t="n">
        <v>2023.12</v>
      </c>
      <c r="M3" s="10" t="n">
        <v>2024.3</v>
      </c>
      <c r="N3" s="10" t="n">
        <v>2024.4</v>
      </c>
      <c r="O3" s="10" t="n">
        <v>2024.5</v>
      </c>
      <c r="P3" s="10" t="n">
        <v>2024.6</v>
      </c>
      <c r="Q3" s="10" t="n">
        <v>2024.7</v>
      </c>
      <c r="R3" s="10" t="n">
        <v>2024.8</v>
      </c>
      <c r="S3" s="10" t="n">
        <v>2024.9</v>
      </c>
      <c r="T3" s="11" t="s">
        <v>4</v>
      </c>
      <c r="U3" s="11" t="s">
        <v>5</v>
      </c>
      <c r="V3" s="11" t="s">
        <v>6</v>
      </c>
      <c r="W3" s="11" t="s">
        <v>7</v>
      </c>
      <c r="X3" s="11" t="s">
        <v>8</v>
      </c>
      <c r="Y3" s="11" t="s">
        <v>9</v>
      </c>
      <c r="Z3" s="11" t="s">
        <v>10</v>
      </c>
      <c r="AA3" s="11" t="s">
        <v>11</v>
      </c>
      <c r="AB3" s="11" t="s">
        <v>12</v>
      </c>
      <c r="AC3" s="11" t="s">
        <v>13</v>
      </c>
      <c r="AD3" s="11" t="s">
        <v>14</v>
      </c>
      <c r="AE3" s="11" t="s">
        <v>15</v>
      </c>
      <c r="AF3" s="11" t="s">
        <v>16</v>
      </c>
      <c r="AG3" s="11" t="s">
        <v>17</v>
      </c>
      <c r="AH3" s="11" t="s">
        <v>18</v>
      </c>
      <c r="AI3" s="2"/>
      <c r="AJ3" s="12"/>
      <c r="AK3" s="12"/>
      <c r="AL3" s="12"/>
      <c r="AM3" s="12"/>
      <c r="AN3" s="2"/>
      <c r="AO3" s="2"/>
    </row>
    <row r="4" customFormat="false" ht="13.5" hidden="false" customHeight="true" outlineLevel="0" collapsed="false">
      <c r="A4" s="2"/>
      <c r="B4" s="13"/>
      <c r="C4" s="14" t="n">
        <v>119561</v>
      </c>
      <c r="D4" s="14" t="n">
        <v>122669</v>
      </c>
      <c r="E4" s="14" t="n">
        <v>123894</v>
      </c>
      <c r="F4" s="14" t="n">
        <v>125262</v>
      </c>
      <c r="G4" s="14" t="n">
        <v>125331</v>
      </c>
      <c r="H4" s="14" t="n">
        <v>125195</v>
      </c>
      <c r="I4" s="14" t="n">
        <v>126430</v>
      </c>
      <c r="J4" s="14" t="n">
        <v>127114</v>
      </c>
      <c r="K4" s="15" t="n">
        <v>128825</v>
      </c>
      <c r="L4" s="15" t="n">
        <v>131420</v>
      </c>
      <c r="M4" s="15" t="n">
        <v>134794</v>
      </c>
      <c r="N4" s="15" t="n">
        <v>135875</v>
      </c>
      <c r="O4" s="15" t="n">
        <v>135736</v>
      </c>
      <c r="P4" s="15" t="n">
        <v>133191</v>
      </c>
      <c r="Q4" s="15" t="n">
        <v>135550</v>
      </c>
      <c r="R4" s="15" t="n">
        <v>135748</v>
      </c>
      <c r="S4" s="15" t="n">
        <v>137813</v>
      </c>
      <c r="T4" s="15" t="n">
        <v>139799.867618264</v>
      </c>
      <c r="U4" s="15" t="n">
        <v>142442.030850849</v>
      </c>
      <c r="V4" s="15" t="n">
        <v>142092.196864389</v>
      </c>
      <c r="W4" s="15" t="n">
        <v>141535.657803964</v>
      </c>
      <c r="X4" s="15" t="n">
        <v>141708.809124604</v>
      </c>
      <c r="Y4" s="15" t="n">
        <v>142922</v>
      </c>
      <c r="Z4" s="15" t="n">
        <v>141760</v>
      </c>
      <c r="AA4" s="15" t="n">
        <v>142724</v>
      </c>
      <c r="AB4" s="15" t="n">
        <v>143026</v>
      </c>
      <c r="AC4" s="15" t="n">
        <v>141763</v>
      </c>
      <c r="AD4" s="15" t="n">
        <v>140405</v>
      </c>
      <c r="AE4" s="15" t="n">
        <v>138806</v>
      </c>
      <c r="AF4" s="15" t="n">
        <v>136733</v>
      </c>
      <c r="AG4" s="16" t="n">
        <v>135172</v>
      </c>
      <c r="AH4" s="16" t="n">
        <v>132564</v>
      </c>
      <c r="AI4" s="2"/>
      <c r="AJ4" s="12"/>
      <c r="AK4" s="12"/>
      <c r="AL4" s="12"/>
      <c r="AM4" s="12"/>
      <c r="AN4" s="2"/>
      <c r="AO4" s="2"/>
    </row>
    <row r="5" customFormat="false" ht="12.75" hidden="false" customHeight="true" outlineLevel="0" collapsed="false">
      <c r="A5" s="2"/>
      <c r="B5" s="13" t="s">
        <v>19</v>
      </c>
      <c r="C5" s="17" t="n">
        <f aca="false">C4/15000</f>
        <v>7.97073333333333</v>
      </c>
      <c r="D5" s="17" t="n">
        <f aca="false">D4/15000</f>
        <v>8.17793333333333</v>
      </c>
      <c r="E5" s="17" t="n">
        <f aca="false">E4/15000</f>
        <v>8.2596</v>
      </c>
      <c r="F5" s="17" t="n">
        <f aca="false">F4/15000</f>
        <v>8.3508</v>
      </c>
      <c r="G5" s="17" t="n">
        <f aca="false">G4/15000</f>
        <v>8.3554</v>
      </c>
      <c r="H5" s="17" t="n">
        <f aca="false">H4/15000</f>
        <v>8.34633333333333</v>
      </c>
      <c r="I5" s="17" t="n">
        <f aca="false">I4/15000</f>
        <v>8.42866666666667</v>
      </c>
      <c r="J5" s="17" t="n">
        <f aca="false">J4/15000</f>
        <v>8.47426666666667</v>
      </c>
      <c r="K5" s="17" t="n">
        <f aca="false">K4/15000</f>
        <v>8.58833333333333</v>
      </c>
      <c r="L5" s="17" t="n">
        <f aca="false">L4/15000</f>
        <v>8.76133333333333</v>
      </c>
      <c r="M5" s="17" t="n">
        <f aca="false">M4/15000</f>
        <v>8.98626666666667</v>
      </c>
      <c r="N5" s="17" t="n">
        <f aca="false">N4/15000</f>
        <v>9.05833333333333</v>
      </c>
      <c r="O5" s="17" t="n">
        <f aca="false">O4/15000</f>
        <v>9.04906666666667</v>
      </c>
      <c r="P5" s="17" t="n">
        <f aca="false">P4/15000</f>
        <v>8.8794</v>
      </c>
      <c r="Q5" s="17" t="n">
        <f aca="false">Q4/15000</f>
        <v>9.03666666666667</v>
      </c>
      <c r="R5" s="17" t="n">
        <f aca="false">R4/15000</f>
        <v>9.04986666666667</v>
      </c>
      <c r="S5" s="17" t="n">
        <f aca="false">S4/15000</f>
        <v>9.18753333333333</v>
      </c>
      <c r="T5" s="17" t="n">
        <f aca="false">T4/15000</f>
        <v>9.31999117455093</v>
      </c>
      <c r="U5" s="17" t="n">
        <f aca="false">U4/15000</f>
        <v>9.4961353900566</v>
      </c>
      <c r="V5" s="17" t="n">
        <f aca="false">V4/15000</f>
        <v>9.4728131242926</v>
      </c>
      <c r="W5" s="17" t="n">
        <f aca="false">W4/15000</f>
        <v>9.43571052026427</v>
      </c>
      <c r="X5" s="17" t="n">
        <f aca="false">X4/15000</f>
        <v>9.44725394164027</v>
      </c>
      <c r="Y5" s="17" t="n">
        <f aca="false">Y4/15000</f>
        <v>9.52813333333333</v>
      </c>
      <c r="Z5" s="17" t="n">
        <f aca="false">Z4/15000</f>
        <v>9.45066666666667</v>
      </c>
      <c r="AA5" s="17" t="n">
        <f aca="false">AA4/15000</f>
        <v>9.51493333333333</v>
      </c>
      <c r="AB5" s="17" t="n">
        <f aca="false">AB4/15000</f>
        <v>9.53506666666667</v>
      </c>
      <c r="AC5" s="17" t="n">
        <f aca="false">AC4/15000</f>
        <v>9.45086666666667</v>
      </c>
      <c r="AD5" s="17" t="n">
        <f aca="false">AD4/15000</f>
        <v>9.36033333333333</v>
      </c>
      <c r="AE5" s="17" t="n">
        <v>9.25373333333333</v>
      </c>
      <c r="AF5" s="17" t="n">
        <v>9.11553333333333</v>
      </c>
      <c r="AG5" s="17" t="n">
        <v>9.01146666666667</v>
      </c>
      <c r="AH5" s="17" t="n">
        <v>8.8376</v>
      </c>
      <c r="AI5" s="2"/>
      <c r="AJ5" s="12"/>
      <c r="AK5" s="12"/>
      <c r="AL5" s="12"/>
      <c r="AM5" s="12"/>
      <c r="AN5" s="2"/>
      <c r="AO5" s="2"/>
    </row>
    <row r="6" customFormat="false" ht="13.5" hidden="false" customHeight="true" outlineLevel="0" collapsed="false">
      <c r="A6" s="2"/>
      <c r="B6" s="13"/>
      <c r="C6" s="18" t="n">
        <v>688525</v>
      </c>
      <c r="D6" s="18" t="n">
        <v>686330</v>
      </c>
      <c r="E6" s="18" t="n">
        <v>688178</v>
      </c>
      <c r="F6" s="18" t="n">
        <v>687114</v>
      </c>
      <c r="G6" s="18" t="n">
        <v>689219</v>
      </c>
      <c r="H6" s="18" t="n">
        <v>681420</v>
      </c>
      <c r="I6" s="18" t="n">
        <v>686197</v>
      </c>
      <c r="J6" s="18" t="n">
        <v>688142</v>
      </c>
      <c r="K6" s="18" t="n">
        <v>691621</v>
      </c>
      <c r="L6" s="18" t="n">
        <v>699078</v>
      </c>
      <c r="M6" s="15" t="n">
        <v>706044</v>
      </c>
      <c r="N6" s="15" t="n">
        <v>707114</v>
      </c>
      <c r="O6" s="15" t="n">
        <v>712007</v>
      </c>
      <c r="P6" s="15" t="n">
        <v>717446</v>
      </c>
      <c r="Q6" s="15" t="n">
        <v>723275</v>
      </c>
      <c r="R6" s="15" t="n">
        <v>730202</v>
      </c>
      <c r="S6" s="15" t="n">
        <v>737386</v>
      </c>
      <c r="T6" s="15" t="n">
        <v>742873.100794733</v>
      </c>
      <c r="U6" s="15" t="n">
        <v>748615.848348334</v>
      </c>
      <c r="V6" s="15" t="n">
        <v>753955.638953358</v>
      </c>
      <c r="W6" s="15" t="n">
        <v>753251.061403661</v>
      </c>
      <c r="X6" s="15" t="n">
        <v>757446.387848609</v>
      </c>
      <c r="Y6" s="15" t="n">
        <v>761145</v>
      </c>
      <c r="Z6" s="15" t="n">
        <v>763243</v>
      </c>
      <c r="AA6" s="15" t="n">
        <v>769186</v>
      </c>
      <c r="AB6" s="15" t="n">
        <v>774704</v>
      </c>
      <c r="AC6" s="15" t="n">
        <v>781705</v>
      </c>
      <c r="AD6" s="15" t="n">
        <v>788020</v>
      </c>
      <c r="AE6" s="15" t="n">
        <v>793890</v>
      </c>
      <c r="AF6" s="15" t="n">
        <v>802700</v>
      </c>
      <c r="AG6" s="17" t="n">
        <v>807201</v>
      </c>
      <c r="AH6" s="17" t="n">
        <v>813922</v>
      </c>
      <c r="AI6" s="2"/>
      <c r="AJ6" s="12"/>
      <c r="AK6" s="12"/>
      <c r="AL6" s="12"/>
      <c r="AM6" s="12"/>
      <c r="AN6" s="2"/>
      <c r="AO6" s="2"/>
    </row>
    <row r="7" customFormat="false" ht="12.75" hidden="false" customHeight="true" outlineLevel="0" collapsed="false">
      <c r="A7" s="2"/>
      <c r="B7" s="13" t="s">
        <v>20</v>
      </c>
      <c r="C7" s="17" t="n">
        <f aca="false">C6/15000</f>
        <v>45.9016666666667</v>
      </c>
      <c r="D7" s="17" t="n">
        <f aca="false">D6/15000</f>
        <v>45.7553333333333</v>
      </c>
      <c r="E7" s="17" t="n">
        <f aca="false">E6/15000</f>
        <v>45.8785333333333</v>
      </c>
      <c r="F7" s="17" t="n">
        <f aca="false">F6/15000</f>
        <v>45.8076</v>
      </c>
      <c r="G7" s="17" t="n">
        <f aca="false">G6/15000</f>
        <v>45.9479333333333</v>
      </c>
      <c r="H7" s="17" t="n">
        <f aca="false">H6/15000</f>
        <v>45.428</v>
      </c>
      <c r="I7" s="17" t="n">
        <f aca="false">I6/15000</f>
        <v>45.7464666666667</v>
      </c>
      <c r="J7" s="17" t="n">
        <f aca="false">J6/15000</f>
        <v>45.8761333333333</v>
      </c>
      <c r="K7" s="17" t="n">
        <f aca="false">K6/15000</f>
        <v>46.1080666666667</v>
      </c>
      <c r="L7" s="17" t="n">
        <f aca="false">L6/15000</f>
        <v>46.6052</v>
      </c>
      <c r="M7" s="17" t="n">
        <f aca="false">M6/15000</f>
        <v>47.0696</v>
      </c>
      <c r="N7" s="17" t="n">
        <f aca="false">N6/15000</f>
        <v>47.1409333333333</v>
      </c>
      <c r="O7" s="17" t="n">
        <f aca="false">O6/15000</f>
        <v>47.4671333333333</v>
      </c>
      <c r="P7" s="17" t="n">
        <f aca="false">P6/15000</f>
        <v>47.8297333333333</v>
      </c>
      <c r="Q7" s="17" t="n">
        <f aca="false">Q6/15000</f>
        <v>48.2183333333333</v>
      </c>
      <c r="R7" s="17" t="n">
        <f aca="false">R6/15000</f>
        <v>48.6801333333333</v>
      </c>
      <c r="S7" s="17" t="n">
        <f aca="false">S6/15000</f>
        <v>49.1590666666667</v>
      </c>
      <c r="T7" s="17" t="n">
        <f aca="false">T6/15000</f>
        <v>49.5248733863155</v>
      </c>
      <c r="U7" s="17" t="n">
        <f aca="false">U6/15000</f>
        <v>49.9077232232223</v>
      </c>
      <c r="V7" s="17" t="n">
        <f aca="false">V6/15000</f>
        <v>50.2637092635572</v>
      </c>
      <c r="W7" s="17" t="n">
        <f aca="false">W6/15000</f>
        <v>50.2167374269107</v>
      </c>
      <c r="X7" s="17" t="n">
        <f aca="false">X6/15000</f>
        <v>50.4964258565739</v>
      </c>
      <c r="Y7" s="17" t="n">
        <f aca="false">Y6/15000</f>
        <v>50.743</v>
      </c>
      <c r="Z7" s="17" t="n">
        <f aca="false">Z6/15000</f>
        <v>50.8828666666667</v>
      </c>
      <c r="AA7" s="17" t="n">
        <f aca="false">AA6/15000</f>
        <v>51.2790666666667</v>
      </c>
      <c r="AB7" s="17" t="n">
        <f aca="false">AB6/15000</f>
        <v>51.6469333333333</v>
      </c>
      <c r="AC7" s="17" t="n">
        <f aca="false">AC6/15000</f>
        <v>52.1136666666667</v>
      </c>
      <c r="AD7" s="17" t="n">
        <f aca="false">AD6/15000</f>
        <v>52.5346666666667</v>
      </c>
      <c r="AE7" s="17" t="n">
        <v>52.926</v>
      </c>
      <c r="AF7" s="17" t="n">
        <v>53.5133333333333</v>
      </c>
      <c r="AG7" s="17" t="n">
        <v>53.8134</v>
      </c>
      <c r="AH7" s="17" t="n">
        <v>54.2614666666667</v>
      </c>
      <c r="AI7" s="2"/>
      <c r="AJ7" s="12"/>
      <c r="AK7" s="12"/>
      <c r="AL7" s="12"/>
      <c r="AM7" s="12"/>
      <c r="AN7" s="2"/>
      <c r="AO7" s="2"/>
    </row>
    <row r="8" customFormat="false" ht="12.75" hidden="false" customHeight="true" outlineLevel="0" collapsed="false">
      <c r="A8" s="2"/>
      <c r="B8" s="19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n">
        <v>17720</v>
      </c>
      <c r="Q8" s="17" t="n">
        <v>18010</v>
      </c>
      <c r="R8" s="17" t="n">
        <v>18380</v>
      </c>
      <c r="S8" s="17" t="n">
        <v>19810</v>
      </c>
      <c r="T8" s="17" t="n">
        <v>21250</v>
      </c>
      <c r="U8" s="17" t="n">
        <v>21770</v>
      </c>
      <c r="V8" s="17"/>
      <c r="W8" s="17" t="n">
        <v>22570</v>
      </c>
      <c r="X8" s="17" t="n">
        <v>21980</v>
      </c>
      <c r="Y8" s="17" t="n">
        <v>22780</v>
      </c>
      <c r="Z8" s="17" t="n">
        <v>21350</v>
      </c>
      <c r="AA8" s="17" t="n">
        <v>21890</v>
      </c>
      <c r="AB8" s="17" t="n">
        <v>22990</v>
      </c>
      <c r="AC8" s="17" t="n">
        <v>24050</v>
      </c>
      <c r="AD8" s="17" t="n">
        <v>24330</v>
      </c>
      <c r="AE8" s="17" t="n">
        <v>24860</v>
      </c>
      <c r="AF8" s="17" t="n">
        <v>25720</v>
      </c>
      <c r="AG8" s="17" t="n">
        <v>26200</v>
      </c>
      <c r="AH8" s="17" t="n">
        <v>26400</v>
      </c>
      <c r="AI8" s="2"/>
      <c r="AJ8" s="12"/>
      <c r="AK8" s="12"/>
      <c r="AL8" s="12"/>
      <c r="AM8" s="12"/>
      <c r="AN8" s="2"/>
      <c r="AO8" s="2"/>
    </row>
    <row r="9" customFormat="false" ht="12.75" hidden="false" customHeight="true" outlineLevel="0" collapsed="false">
      <c r="A9" s="2"/>
      <c r="B9" s="13" t="s">
        <v>21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 t="n">
        <f aca="false">P8/15000</f>
        <v>1.18133333333333</v>
      </c>
      <c r="Q9" s="17" t="n">
        <f aca="false">Q8/15000</f>
        <v>1.20066666666667</v>
      </c>
      <c r="R9" s="17" t="n">
        <f aca="false">R8/15000</f>
        <v>1.22533333333333</v>
      </c>
      <c r="S9" s="17" t="n">
        <f aca="false">S8/15000</f>
        <v>1.32066666666667</v>
      </c>
      <c r="T9" s="17" t="n">
        <f aca="false">T8/15000</f>
        <v>1.41666666666667</v>
      </c>
      <c r="U9" s="17" t="n">
        <f aca="false">U8/15000</f>
        <v>1.45133333333333</v>
      </c>
      <c r="V9" s="17" t="n">
        <f aca="false">AVERAGE(U9,W9)</f>
        <v>1.478</v>
      </c>
      <c r="W9" s="17" t="n">
        <f aca="false">W8/15000</f>
        <v>1.50466666666667</v>
      </c>
      <c r="X9" s="17" t="n">
        <f aca="false">X8/15000</f>
        <v>1.46533333333333</v>
      </c>
      <c r="Y9" s="17" t="n">
        <f aca="false">Y8/15000</f>
        <v>1.51866666666667</v>
      </c>
      <c r="Z9" s="17" t="n">
        <f aca="false">Z8/15000</f>
        <v>1.42333333333333</v>
      </c>
      <c r="AA9" s="17" t="n">
        <f aca="false">AA8/15000</f>
        <v>1.45933333333333</v>
      </c>
      <c r="AB9" s="17" t="n">
        <f aca="false">AB8/15000</f>
        <v>1.53266666666667</v>
      </c>
      <c r="AC9" s="17" t="n">
        <f aca="false">AC8/15000</f>
        <v>1.60333333333333</v>
      </c>
      <c r="AD9" s="17" t="n">
        <f aca="false">AD8/15000</f>
        <v>1.622</v>
      </c>
      <c r="AE9" s="17" t="n">
        <v>1.65733333333333</v>
      </c>
      <c r="AF9" s="17" t="n">
        <v>1.71466666666667</v>
      </c>
      <c r="AG9" s="17" t="n">
        <v>1.74666666666667</v>
      </c>
      <c r="AH9" s="17" t="n">
        <v>1.76</v>
      </c>
      <c r="AI9" s="2"/>
      <c r="AJ9" s="12"/>
      <c r="AK9" s="12"/>
      <c r="AL9" s="12"/>
      <c r="AM9" s="12"/>
      <c r="AN9" s="2"/>
      <c r="AO9" s="2"/>
    </row>
    <row r="10" s="20" customFormat="true" ht="12.75" hidden="false" customHeight="true" outlineLevel="0" collapsed="false">
      <c r="A10" s="2"/>
      <c r="B10" s="19"/>
      <c r="C10" s="17" t="n">
        <v>81621</v>
      </c>
      <c r="D10" s="17" t="n">
        <v>83329</v>
      </c>
      <c r="E10" s="17" t="n">
        <v>86044</v>
      </c>
      <c r="F10" s="17" t="n">
        <v>88974</v>
      </c>
      <c r="G10" s="17" t="n">
        <v>91801</v>
      </c>
      <c r="H10" s="17" t="n">
        <v>94444</v>
      </c>
      <c r="I10" s="17" t="n">
        <v>96673</v>
      </c>
      <c r="J10" s="17" t="n">
        <v>101216</v>
      </c>
      <c r="K10" s="17" t="n">
        <v>104860</v>
      </c>
      <c r="L10" s="17" t="n">
        <v>107533</v>
      </c>
      <c r="M10" s="17" t="n">
        <v>111728</v>
      </c>
      <c r="N10" s="17" t="n">
        <v>112792</v>
      </c>
      <c r="O10" s="17" t="n">
        <v>114187</v>
      </c>
      <c r="P10" s="17" t="n">
        <v>117101</v>
      </c>
      <c r="Q10" s="17" t="n">
        <v>120602</v>
      </c>
      <c r="R10" s="17" t="n">
        <v>123816</v>
      </c>
      <c r="S10" s="17" t="n">
        <v>126244</v>
      </c>
      <c r="T10" s="17" t="n">
        <v>129899.005633013</v>
      </c>
      <c r="U10" s="17" t="n">
        <v>132091.049123347</v>
      </c>
      <c r="V10" s="17" t="n">
        <v>134695.27055814</v>
      </c>
      <c r="W10" s="17" t="n">
        <v>136001</v>
      </c>
      <c r="X10" s="17" t="n">
        <v>136813</v>
      </c>
      <c r="Y10" s="17" t="n">
        <v>137579</v>
      </c>
      <c r="Z10" s="17" t="n">
        <v>137335</v>
      </c>
      <c r="AA10" s="17" t="n">
        <v>138517</v>
      </c>
      <c r="AB10" s="17" t="n">
        <v>139881</v>
      </c>
      <c r="AC10" s="17" t="n">
        <v>141777</v>
      </c>
      <c r="AD10" s="17" t="n">
        <v>143153</v>
      </c>
      <c r="AE10" s="17" t="n">
        <v>143638</v>
      </c>
      <c r="AF10" s="17" t="n">
        <v>144877</v>
      </c>
      <c r="AG10" s="17" t="n">
        <v>145484</v>
      </c>
      <c r="AH10" s="17" t="n">
        <v>146812</v>
      </c>
      <c r="AI10" s="2"/>
      <c r="AJ10" s="12"/>
      <c r="AK10" s="12"/>
      <c r="AL10" s="12"/>
      <c r="AM10" s="12"/>
      <c r="AN10" s="2"/>
      <c r="AO10" s="2"/>
    </row>
    <row r="11" customFormat="false" ht="12.75" hidden="false" customHeight="true" outlineLevel="0" collapsed="false">
      <c r="A11" s="2"/>
      <c r="B11" s="13" t="s">
        <v>22</v>
      </c>
      <c r="C11" s="17" t="n">
        <f aca="false">C10/15000</f>
        <v>5.4414</v>
      </c>
      <c r="D11" s="17" t="n">
        <f aca="false">D10/15000</f>
        <v>5.55526666666667</v>
      </c>
      <c r="E11" s="17" t="n">
        <f aca="false">E10/15000</f>
        <v>5.73626666666667</v>
      </c>
      <c r="F11" s="17" t="n">
        <f aca="false">F10/15000</f>
        <v>5.9316</v>
      </c>
      <c r="G11" s="17" t="n">
        <f aca="false">G10/15000</f>
        <v>6.12006666666667</v>
      </c>
      <c r="H11" s="17" t="n">
        <f aca="false">H10/15000</f>
        <v>6.29626666666667</v>
      </c>
      <c r="I11" s="17" t="n">
        <f aca="false">I10/15000</f>
        <v>6.44486666666667</v>
      </c>
      <c r="J11" s="17" t="n">
        <f aca="false">J10/15000</f>
        <v>6.74773333333333</v>
      </c>
      <c r="K11" s="17" t="n">
        <f aca="false">K10/15000</f>
        <v>6.99066666666667</v>
      </c>
      <c r="L11" s="17" t="n">
        <f aca="false">L10/15000</f>
        <v>7.16886666666667</v>
      </c>
      <c r="M11" s="17" t="n">
        <f aca="false">M10/15000</f>
        <v>7.44853333333333</v>
      </c>
      <c r="N11" s="17" t="n">
        <f aca="false">N10/15000</f>
        <v>7.51946666666667</v>
      </c>
      <c r="O11" s="17" t="n">
        <f aca="false">O10/15000</f>
        <v>7.61246666666667</v>
      </c>
      <c r="P11" s="17" t="n">
        <f aca="false">P10/15000</f>
        <v>7.80673333333333</v>
      </c>
      <c r="Q11" s="17" t="n">
        <f aca="false">Q10/15000</f>
        <v>8.04013333333333</v>
      </c>
      <c r="R11" s="17" t="n">
        <f aca="false">R10/15000</f>
        <v>8.2544</v>
      </c>
      <c r="S11" s="17" t="n">
        <f aca="false">S10/15000</f>
        <v>8.41626666666667</v>
      </c>
      <c r="T11" s="17" t="n">
        <f aca="false">T10/15000</f>
        <v>8.65993370886753</v>
      </c>
      <c r="U11" s="17" t="n">
        <f aca="false">U10/15000</f>
        <v>8.80606994155647</v>
      </c>
      <c r="V11" s="17" t="n">
        <f aca="false">V10/15000</f>
        <v>8.979684703876</v>
      </c>
      <c r="W11" s="17" t="n">
        <f aca="false">W10/15000</f>
        <v>9.06673333333333</v>
      </c>
      <c r="X11" s="17" t="n">
        <f aca="false">X10/15000</f>
        <v>9.12086666666667</v>
      </c>
      <c r="Y11" s="17" t="n">
        <f aca="false">Y10/15000</f>
        <v>9.17193333333333</v>
      </c>
      <c r="Z11" s="17" t="n">
        <f aca="false">Z10/15000</f>
        <v>9.15566666666667</v>
      </c>
      <c r="AA11" s="17" t="n">
        <f aca="false">AA10/15000</f>
        <v>9.23446666666667</v>
      </c>
      <c r="AB11" s="17" t="n">
        <f aca="false">AB10/15000</f>
        <v>9.3254</v>
      </c>
      <c r="AC11" s="17" t="n">
        <f aca="false">AC10/15000</f>
        <v>9.4518</v>
      </c>
      <c r="AD11" s="17" t="n">
        <f aca="false">AD10/15000</f>
        <v>9.54353333333333</v>
      </c>
      <c r="AE11" s="17" t="n">
        <v>9.57586666666667</v>
      </c>
      <c r="AF11" s="17" t="n">
        <v>9.65846666666667</v>
      </c>
      <c r="AG11" s="17" t="n">
        <v>9.69893333333333</v>
      </c>
      <c r="AH11" s="17" t="n">
        <v>9.78746666666667</v>
      </c>
      <c r="AI11" s="2"/>
      <c r="AJ11" s="12"/>
      <c r="AK11" s="12"/>
      <c r="AL11" s="12"/>
      <c r="AM11" s="12"/>
      <c r="AN11" s="2"/>
      <c r="AO11" s="2"/>
    </row>
    <row r="12" customFormat="false" ht="13.5" hidden="false" customHeight="true" outlineLevel="0" collapsed="false">
      <c r="A12" s="2"/>
      <c r="B12" s="21"/>
      <c r="C12" s="22" t="n">
        <v>95019</v>
      </c>
      <c r="D12" s="22" t="n">
        <v>92363</v>
      </c>
      <c r="E12" s="22" t="n">
        <v>93177</v>
      </c>
      <c r="F12" s="22" t="n">
        <v>93917</v>
      </c>
      <c r="G12" s="22" t="n">
        <v>94869</v>
      </c>
      <c r="H12" s="22" t="n">
        <v>96059</v>
      </c>
      <c r="I12" s="22" t="n">
        <v>96483</v>
      </c>
      <c r="J12" s="22" t="n">
        <v>97146</v>
      </c>
      <c r="K12" s="22" t="n">
        <v>98091</v>
      </c>
      <c r="L12" s="22" t="n">
        <v>99701</v>
      </c>
      <c r="M12" s="22" t="n">
        <v>103124</v>
      </c>
      <c r="N12" s="22" t="n">
        <v>104245</v>
      </c>
      <c r="O12" s="22" t="n">
        <v>105280</v>
      </c>
      <c r="P12" s="22" t="n">
        <v>106008</v>
      </c>
      <c r="Q12" s="22" t="n">
        <v>106856</v>
      </c>
      <c r="R12" s="22" t="n">
        <v>108489</v>
      </c>
      <c r="S12" s="22" t="n">
        <v>109456</v>
      </c>
      <c r="T12" s="22" t="n">
        <v>110471.2783</v>
      </c>
      <c r="U12" s="22" t="n">
        <v>111223.8586</v>
      </c>
      <c r="V12" s="22" t="n">
        <v>112578.8147</v>
      </c>
      <c r="W12" s="22" t="n">
        <v>111050</v>
      </c>
      <c r="X12" s="22" t="n">
        <v>111147</v>
      </c>
      <c r="Y12" s="22" t="n">
        <v>111158</v>
      </c>
      <c r="Z12" s="22" t="n">
        <v>110059</v>
      </c>
      <c r="AA12" s="22" t="n">
        <v>110262</v>
      </c>
      <c r="AB12" s="22" t="n">
        <v>110233</v>
      </c>
      <c r="AC12" s="22" t="n">
        <v>111457</v>
      </c>
      <c r="AD12" s="22" t="n">
        <v>112462</v>
      </c>
      <c r="AE12" s="17" t="n">
        <v>112814</v>
      </c>
      <c r="AF12" s="17" t="n">
        <v>109399</v>
      </c>
      <c r="AG12" s="17" t="n">
        <v>109549</v>
      </c>
      <c r="AH12" s="17" t="n">
        <v>109491</v>
      </c>
      <c r="AI12" s="2"/>
      <c r="AJ12" s="12"/>
      <c r="AK12" s="12"/>
      <c r="AL12" s="12"/>
      <c r="AM12" s="12"/>
      <c r="AN12" s="2"/>
      <c r="AO12" s="2"/>
    </row>
    <row r="13" customFormat="false" ht="12.75" hidden="false" customHeight="true" outlineLevel="0" collapsed="false">
      <c r="A13" s="2"/>
      <c r="B13" s="21" t="s">
        <v>23</v>
      </c>
      <c r="C13" s="23" t="n">
        <f aca="false">C12/15000</f>
        <v>6.3346</v>
      </c>
      <c r="D13" s="23" t="n">
        <f aca="false">D12/15000</f>
        <v>6.15753333333333</v>
      </c>
      <c r="E13" s="23" t="n">
        <f aca="false">E12/15000</f>
        <v>6.2118</v>
      </c>
      <c r="F13" s="23" t="n">
        <f aca="false">F12/15000</f>
        <v>6.26113333333333</v>
      </c>
      <c r="G13" s="23" t="n">
        <f aca="false">G12/15000</f>
        <v>6.3246</v>
      </c>
      <c r="H13" s="23" t="n">
        <f aca="false">H12/15000</f>
        <v>6.40393333333333</v>
      </c>
      <c r="I13" s="23" t="n">
        <f aca="false">I12/15000</f>
        <v>6.4322</v>
      </c>
      <c r="J13" s="23" t="n">
        <f aca="false">J12/15000</f>
        <v>6.4764</v>
      </c>
      <c r="K13" s="23" t="n">
        <f aca="false">K12/15000</f>
        <v>6.5394</v>
      </c>
      <c r="L13" s="23" t="n">
        <f aca="false">L12/15000</f>
        <v>6.64673333333333</v>
      </c>
      <c r="M13" s="23" t="n">
        <f aca="false">M12/15000</f>
        <v>6.87493333333333</v>
      </c>
      <c r="N13" s="23" t="n">
        <f aca="false">N12/15000</f>
        <v>6.94966666666667</v>
      </c>
      <c r="O13" s="23" t="n">
        <f aca="false">O12/15000</f>
        <v>7.01866666666667</v>
      </c>
      <c r="P13" s="23" t="n">
        <f aca="false">P12/15000</f>
        <v>7.0672</v>
      </c>
      <c r="Q13" s="23" t="n">
        <f aca="false">Q12/15000</f>
        <v>7.12373333333333</v>
      </c>
      <c r="R13" s="23" t="n">
        <f aca="false">R12/15000</f>
        <v>7.2326</v>
      </c>
      <c r="S13" s="23" t="n">
        <f aca="false">S12/15000</f>
        <v>7.29706666666667</v>
      </c>
      <c r="T13" s="23" t="n">
        <f aca="false">T12/15000</f>
        <v>7.36475188666667</v>
      </c>
      <c r="U13" s="23" t="n">
        <f aca="false">U12/15000</f>
        <v>7.41492390666667</v>
      </c>
      <c r="V13" s="23" t="n">
        <f aca="false">V12/15000</f>
        <v>7.50525431333333</v>
      </c>
      <c r="W13" s="23" t="n">
        <f aca="false">W12/15000</f>
        <v>7.40333333333333</v>
      </c>
      <c r="X13" s="23" t="n">
        <f aca="false">X12/15000</f>
        <v>7.4098</v>
      </c>
      <c r="Y13" s="23" t="n">
        <f aca="false">Y12/15000</f>
        <v>7.41053333333333</v>
      </c>
      <c r="Z13" s="23" t="n">
        <f aca="false">Z12/15000</f>
        <v>7.33726666666667</v>
      </c>
      <c r="AA13" s="23" t="n">
        <f aca="false">AA12/15000</f>
        <v>7.3508</v>
      </c>
      <c r="AB13" s="23" t="n">
        <f aca="false">AB12/15000</f>
        <v>7.34886666666667</v>
      </c>
      <c r="AC13" s="23" t="n">
        <f aca="false">AC12/15000</f>
        <v>7.43046666666667</v>
      </c>
      <c r="AD13" s="23" t="n">
        <f aca="false">AD12/15000</f>
        <v>7.49746666666667</v>
      </c>
      <c r="AE13" s="17" t="n">
        <v>7.52093333333333</v>
      </c>
      <c r="AF13" s="17" t="n">
        <v>7.29326666666667</v>
      </c>
      <c r="AG13" s="17" t="n">
        <v>7.30326666666667</v>
      </c>
      <c r="AH13" s="17" t="n">
        <v>7.2994</v>
      </c>
      <c r="AI13" s="2"/>
      <c r="AJ13" s="12"/>
      <c r="AK13" s="12"/>
      <c r="AL13" s="12"/>
      <c r="AM13" s="12"/>
      <c r="AN13" s="2"/>
      <c r="AO13" s="2"/>
    </row>
    <row r="14" customFormat="false" ht="13.5" hidden="false" customHeight="true" outlineLevel="0" collapsed="false">
      <c r="A14" s="2"/>
      <c r="B14" s="21"/>
      <c r="C14" s="22" t="n">
        <v>197675</v>
      </c>
      <c r="D14" s="22" t="n">
        <v>203547</v>
      </c>
      <c r="E14" s="22" t="n">
        <v>205681</v>
      </c>
      <c r="F14" s="22" t="n">
        <v>208642</v>
      </c>
      <c r="G14" s="22" t="n">
        <v>210642</v>
      </c>
      <c r="H14" s="22" t="n">
        <v>213947</v>
      </c>
      <c r="I14" s="22" t="n">
        <v>217085</v>
      </c>
      <c r="J14" s="22" t="n">
        <v>220417</v>
      </c>
      <c r="K14" s="22" t="n">
        <v>223634</v>
      </c>
      <c r="L14" s="22" t="n">
        <v>224901</v>
      </c>
      <c r="M14" s="22" t="n">
        <v>234138</v>
      </c>
      <c r="N14" s="22" t="n">
        <v>234424</v>
      </c>
      <c r="O14" s="22" t="n">
        <v>236323</v>
      </c>
      <c r="P14" s="22" t="n">
        <v>237796</v>
      </c>
      <c r="Q14" s="22" t="n">
        <v>238716</v>
      </c>
      <c r="R14" s="22" t="n">
        <v>240867</v>
      </c>
      <c r="S14" s="22" t="n">
        <v>241048</v>
      </c>
      <c r="T14" s="22" t="n">
        <v>239904.2956</v>
      </c>
      <c r="U14" s="22" t="n">
        <v>236647.8671</v>
      </c>
      <c r="V14" s="22" t="n">
        <v>237556.6042</v>
      </c>
      <c r="W14" s="22" t="n">
        <v>244305</v>
      </c>
      <c r="X14" s="22" t="n">
        <v>244173</v>
      </c>
      <c r="Y14" s="22" t="n">
        <v>245275</v>
      </c>
      <c r="Z14" s="22" t="n">
        <v>243058</v>
      </c>
      <c r="AA14" s="22" t="n">
        <v>241465</v>
      </c>
      <c r="AB14" s="22" t="n">
        <v>238212</v>
      </c>
      <c r="AC14" s="22" t="n">
        <v>236670</v>
      </c>
      <c r="AD14" s="22" t="n">
        <v>236274</v>
      </c>
      <c r="AE14" s="17" t="n">
        <v>236266</v>
      </c>
      <c r="AF14" s="17" t="n">
        <v>235474</v>
      </c>
      <c r="AG14" s="17" t="n">
        <v>230053</v>
      </c>
      <c r="AH14" s="17" t="n">
        <v>228418</v>
      </c>
      <c r="AI14" s="2"/>
      <c r="AJ14" s="12"/>
      <c r="AK14" s="12"/>
      <c r="AL14" s="12"/>
      <c r="AM14" s="12"/>
      <c r="AN14" s="2"/>
      <c r="AO14" s="2"/>
    </row>
    <row r="15" customFormat="false" ht="15" hidden="false" customHeight="true" outlineLevel="0" collapsed="false">
      <c r="A15" s="2"/>
      <c r="B15" s="21" t="s">
        <v>24</v>
      </c>
      <c r="C15" s="23" t="n">
        <f aca="false">C14/15000</f>
        <v>13.1783333333333</v>
      </c>
      <c r="D15" s="23" t="n">
        <f aca="false">D14/15000</f>
        <v>13.5698</v>
      </c>
      <c r="E15" s="23" t="n">
        <f aca="false">E14/15000</f>
        <v>13.7120666666667</v>
      </c>
      <c r="F15" s="23" t="n">
        <f aca="false">F14/15000</f>
        <v>13.9094666666667</v>
      </c>
      <c r="G15" s="23" t="n">
        <f aca="false">G14/15000</f>
        <v>14.0428</v>
      </c>
      <c r="H15" s="23" t="n">
        <f aca="false">H14/15000</f>
        <v>14.2631333333333</v>
      </c>
      <c r="I15" s="23" t="n">
        <f aca="false">I14/15000</f>
        <v>14.4723333333333</v>
      </c>
      <c r="J15" s="23" t="n">
        <f aca="false">J14/15000</f>
        <v>14.6944666666667</v>
      </c>
      <c r="K15" s="23" t="n">
        <f aca="false">K14/15000</f>
        <v>14.9089333333333</v>
      </c>
      <c r="L15" s="23" t="n">
        <f aca="false">L14/15000</f>
        <v>14.9934</v>
      </c>
      <c r="M15" s="23" t="n">
        <f aca="false">M14/15000</f>
        <v>15.6092</v>
      </c>
      <c r="N15" s="23" t="n">
        <f aca="false">N14/15000</f>
        <v>15.6282666666667</v>
      </c>
      <c r="O15" s="23" t="n">
        <f aca="false">O14/15000</f>
        <v>15.7548666666667</v>
      </c>
      <c r="P15" s="23" t="n">
        <f aca="false">P14/15000</f>
        <v>15.8530666666667</v>
      </c>
      <c r="Q15" s="23" t="n">
        <f aca="false">Q14/15000</f>
        <v>15.9144</v>
      </c>
      <c r="R15" s="23" t="n">
        <f aca="false">R14/15000</f>
        <v>16.0578</v>
      </c>
      <c r="S15" s="23" t="n">
        <f aca="false">S14/15000</f>
        <v>16.0698666666667</v>
      </c>
      <c r="T15" s="23" t="n">
        <f aca="false">T14/15000</f>
        <v>15.9936197066667</v>
      </c>
      <c r="U15" s="23" t="n">
        <f aca="false">U14/15000</f>
        <v>15.7765244733333</v>
      </c>
      <c r="V15" s="23" t="n">
        <f aca="false">V14/15000</f>
        <v>15.8371069466667</v>
      </c>
      <c r="W15" s="23" t="n">
        <f aca="false">W14/15000</f>
        <v>16.287</v>
      </c>
      <c r="X15" s="23" t="n">
        <f aca="false">X14/15000</f>
        <v>16.2782</v>
      </c>
      <c r="Y15" s="23" t="n">
        <f aca="false">Y14/15000</f>
        <v>16.3516666666667</v>
      </c>
      <c r="Z15" s="23" t="n">
        <f aca="false">Z14/15000</f>
        <v>16.2038666666667</v>
      </c>
      <c r="AA15" s="23" t="n">
        <f aca="false">AA14/15000</f>
        <v>16.0976666666667</v>
      </c>
      <c r="AB15" s="23" t="n">
        <f aca="false">AB14/15000</f>
        <v>15.8808</v>
      </c>
      <c r="AC15" s="23" t="n">
        <f aca="false">AC14/15000</f>
        <v>15.778</v>
      </c>
      <c r="AD15" s="23" t="n">
        <f aca="false">AD14/15000</f>
        <v>15.7516</v>
      </c>
      <c r="AE15" s="17" t="n">
        <v>15.7510666666667</v>
      </c>
      <c r="AF15" s="17" t="n">
        <v>15.6982666666667</v>
      </c>
      <c r="AG15" s="17" t="n">
        <v>15.3368666666667</v>
      </c>
      <c r="AH15" s="17" t="n">
        <v>15.2278666666667</v>
      </c>
      <c r="AI15" s="2"/>
      <c r="AJ15" s="12"/>
      <c r="AK15" s="12"/>
      <c r="AL15" s="12"/>
      <c r="AM15" s="12"/>
      <c r="AN15" s="2"/>
      <c r="AO15" s="2"/>
    </row>
    <row r="16" customFormat="false" ht="13.5" hidden="false" customHeight="true" outlineLevel="0" collapsed="false">
      <c r="A16" s="2"/>
      <c r="B16" s="21"/>
      <c r="C16" s="23" t="n">
        <v>14087</v>
      </c>
      <c r="D16" s="24" t="n">
        <v>13963</v>
      </c>
      <c r="E16" s="24" t="n">
        <v>13588</v>
      </c>
      <c r="F16" s="24" t="n">
        <v>13417</v>
      </c>
      <c r="G16" s="24" t="n">
        <v>13224</v>
      </c>
      <c r="H16" s="24" t="n">
        <v>12846</v>
      </c>
      <c r="I16" s="24" t="n">
        <v>12611</v>
      </c>
      <c r="J16" s="24" t="n">
        <v>11897</v>
      </c>
      <c r="K16" s="24" t="n">
        <v>11837</v>
      </c>
      <c r="L16" s="24" t="n">
        <v>11945</v>
      </c>
      <c r="M16" s="24" t="n">
        <v>13060</v>
      </c>
      <c r="N16" s="24" t="n">
        <v>13475</v>
      </c>
      <c r="O16" s="24" t="n">
        <v>13907</v>
      </c>
      <c r="P16" s="24" t="n">
        <v>14407</v>
      </c>
      <c r="Q16" s="25" t="n">
        <v>14938</v>
      </c>
      <c r="R16" s="25" t="n">
        <v>15098</v>
      </c>
      <c r="S16" s="25" t="n">
        <v>15496</v>
      </c>
      <c r="T16" s="25" t="n">
        <v>15710.91051</v>
      </c>
      <c r="U16" s="25" t="n">
        <v>15957.85411</v>
      </c>
      <c r="V16" s="25" t="n">
        <v>16355.75711</v>
      </c>
      <c r="W16" s="25" t="n">
        <v>16673</v>
      </c>
      <c r="X16" s="25" t="n">
        <v>17068</v>
      </c>
      <c r="Y16" s="25" t="n">
        <v>17498</v>
      </c>
      <c r="Z16" s="25" t="n">
        <v>17484</v>
      </c>
      <c r="AA16" s="25" t="n">
        <v>17884</v>
      </c>
      <c r="AB16" s="25" t="n">
        <v>18102</v>
      </c>
      <c r="AC16" s="25" t="n">
        <v>19541</v>
      </c>
      <c r="AD16" s="25" t="n">
        <v>19352</v>
      </c>
      <c r="AE16" s="17" t="n">
        <v>19755</v>
      </c>
      <c r="AF16" s="17" t="n">
        <v>20407</v>
      </c>
      <c r="AG16" s="17" t="n">
        <v>22621</v>
      </c>
      <c r="AH16" s="17" t="n">
        <v>23274</v>
      </c>
      <c r="AI16" s="2"/>
      <c r="AJ16" s="12"/>
      <c r="AK16" s="12"/>
      <c r="AL16" s="12"/>
      <c r="AM16" s="12"/>
      <c r="AN16" s="2"/>
      <c r="AO16" s="2"/>
    </row>
    <row r="17" customFormat="false" ht="15" hidden="false" customHeight="true" outlineLevel="0" collapsed="false">
      <c r="A17" s="2"/>
      <c r="B17" s="21" t="s">
        <v>25</v>
      </c>
      <c r="C17" s="23" t="n">
        <f aca="false">C16/15000</f>
        <v>0.939133333333333</v>
      </c>
      <c r="D17" s="23" t="n">
        <f aca="false">D16/15000</f>
        <v>0.930866666666667</v>
      </c>
      <c r="E17" s="23" t="n">
        <f aca="false">E16/15000</f>
        <v>0.905866666666667</v>
      </c>
      <c r="F17" s="23" t="n">
        <f aca="false">F16/15000</f>
        <v>0.894466666666667</v>
      </c>
      <c r="G17" s="23" t="n">
        <f aca="false">G16/15000</f>
        <v>0.8816</v>
      </c>
      <c r="H17" s="23" t="n">
        <f aca="false">H16/15000</f>
        <v>0.8564</v>
      </c>
      <c r="I17" s="23" t="n">
        <f aca="false">I16/15000</f>
        <v>0.840733333333333</v>
      </c>
      <c r="J17" s="23" t="n">
        <f aca="false">J16/15000</f>
        <v>0.793133333333333</v>
      </c>
      <c r="K17" s="23" t="n">
        <f aca="false">K16/15000</f>
        <v>0.789133333333333</v>
      </c>
      <c r="L17" s="23" t="n">
        <f aca="false">L16/15000</f>
        <v>0.796333333333333</v>
      </c>
      <c r="M17" s="23" t="n">
        <f aca="false">M16/15000</f>
        <v>0.870666666666667</v>
      </c>
      <c r="N17" s="23" t="n">
        <f aca="false">N16/15000</f>
        <v>0.898333333333333</v>
      </c>
      <c r="O17" s="23" t="n">
        <f aca="false">O16/15000</f>
        <v>0.927133333333333</v>
      </c>
      <c r="P17" s="23" t="n">
        <f aca="false">P16/15000</f>
        <v>0.960466666666667</v>
      </c>
      <c r="Q17" s="23" t="n">
        <f aca="false">Q16/15000</f>
        <v>0.995866666666667</v>
      </c>
      <c r="R17" s="23" t="n">
        <f aca="false">R16/15000</f>
        <v>1.00653333333333</v>
      </c>
      <c r="S17" s="23" t="n">
        <f aca="false">S16/15000</f>
        <v>1.03306666666667</v>
      </c>
      <c r="T17" s="23" t="n">
        <f aca="false">T16/15000</f>
        <v>1.047394034</v>
      </c>
      <c r="U17" s="23" t="n">
        <f aca="false">U16/15000</f>
        <v>1.06385694066667</v>
      </c>
      <c r="V17" s="23" t="n">
        <f aca="false">V16/15000</f>
        <v>1.09038380733333</v>
      </c>
      <c r="W17" s="23" t="n">
        <f aca="false">W16/15000</f>
        <v>1.11153333333333</v>
      </c>
      <c r="X17" s="23" t="n">
        <f aca="false">X16/15000</f>
        <v>1.13786666666667</v>
      </c>
      <c r="Y17" s="23" t="n">
        <f aca="false">Y16/15000</f>
        <v>1.16653333333333</v>
      </c>
      <c r="Z17" s="23" t="n">
        <f aca="false">Z16/15000</f>
        <v>1.1656</v>
      </c>
      <c r="AA17" s="23" t="n">
        <f aca="false">AA16/15000</f>
        <v>1.19226666666667</v>
      </c>
      <c r="AB17" s="23" t="n">
        <f aca="false">AB16/15000</f>
        <v>1.2068</v>
      </c>
      <c r="AC17" s="23" t="n">
        <f aca="false">AC16/15000</f>
        <v>1.30273333333333</v>
      </c>
      <c r="AD17" s="23" t="n">
        <f aca="false">AD16/15000</f>
        <v>1.29013333333333</v>
      </c>
      <c r="AE17" s="17" t="n">
        <v>1.317</v>
      </c>
      <c r="AF17" s="17" t="n">
        <v>1.36046666666667</v>
      </c>
      <c r="AG17" s="17" t="n">
        <v>1.50806666666667</v>
      </c>
      <c r="AH17" s="17" t="n">
        <v>1.5516</v>
      </c>
      <c r="AI17" s="2"/>
      <c r="AJ17" s="12"/>
      <c r="AK17" s="12"/>
      <c r="AL17" s="12"/>
      <c r="AM17" s="12"/>
      <c r="AN17" s="2"/>
      <c r="AO17" s="2"/>
    </row>
    <row r="18" customFormat="false" ht="12.75" hidden="false" customHeight="true" outlineLevel="0" collapsed="false">
      <c r="A18" s="2"/>
      <c r="B18" s="26"/>
      <c r="C18" s="27"/>
      <c r="D18" s="28"/>
      <c r="E18" s="29"/>
      <c r="F18" s="23"/>
      <c r="G18" s="23"/>
      <c r="H18" s="28"/>
      <c r="I18" s="29"/>
      <c r="J18" s="23"/>
      <c r="K18" s="23"/>
      <c r="L18" s="23"/>
      <c r="M18" s="28" t="n">
        <v>6130</v>
      </c>
      <c r="N18" s="28"/>
      <c r="O18" s="29" t="n">
        <v>6810</v>
      </c>
      <c r="P18" s="23" t="n">
        <v>7240</v>
      </c>
      <c r="Q18" s="23" t="n">
        <v>7800</v>
      </c>
      <c r="R18" s="23" t="n">
        <v>7990</v>
      </c>
      <c r="S18" s="23" t="n">
        <v>8240</v>
      </c>
      <c r="T18" s="23" t="n">
        <v>8410</v>
      </c>
      <c r="U18" s="23" t="n">
        <v>8590</v>
      </c>
      <c r="V18" s="23" t="n">
        <f aca="false">AVERAGE(U18,W18)</f>
        <v>7855</v>
      </c>
      <c r="W18" s="23" t="n">
        <v>7120</v>
      </c>
      <c r="X18" s="23" t="n">
        <v>8200</v>
      </c>
      <c r="Y18" s="23" t="n">
        <v>8220</v>
      </c>
      <c r="Z18" s="23" t="n">
        <v>8240</v>
      </c>
      <c r="AA18" s="23" t="n">
        <v>8580</v>
      </c>
      <c r="AB18" s="23" t="n">
        <v>8560</v>
      </c>
      <c r="AC18" s="23" t="n">
        <v>8810</v>
      </c>
      <c r="AD18" s="23" t="n">
        <v>9970</v>
      </c>
      <c r="AE18" s="23" t="n">
        <v>10310</v>
      </c>
      <c r="AF18" s="23" t="n">
        <v>10850</v>
      </c>
      <c r="AG18" s="23" t="n">
        <v>11240</v>
      </c>
      <c r="AH18" s="17" t="n">
        <v>11940</v>
      </c>
      <c r="AI18" s="2"/>
      <c r="AJ18" s="12"/>
      <c r="AK18" s="12"/>
      <c r="AL18" s="12"/>
      <c r="AM18" s="12"/>
      <c r="AN18" s="2"/>
      <c r="AO18" s="2"/>
    </row>
    <row r="19" customFormat="false" ht="12.75" hidden="false" customHeight="true" outlineLevel="0" collapsed="false">
      <c r="A19" s="2"/>
      <c r="B19" s="21" t="s">
        <v>26</v>
      </c>
      <c r="C19" s="27"/>
      <c r="D19" s="28"/>
      <c r="E19" s="29"/>
      <c r="F19" s="23"/>
      <c r="G19" s="23"/>
      <c r="H19" s="28"/>
      <c r="I19" s="29"/>
      <c r="J19" s="23"/>
      <c r="K19" s="23"/>
      <c r="L19" s="23"/>
      <c r="M19" s="23" t="n">
        <f aca="false">M18/15000</f>
        <v>0.408666666666667</v>
      </c>
      <c r="N19" s="23"/>
      <c r="O19" s="23" t="n">
        <f aca="false">O18/15000</f>
        <v>0.454</v>
      </c>
      <c r="P19" s="23" t="n">
        <f aca="false">P18/15000</f>
        <v>0.482666666666667</v>
      </c>
      <c r="Q19" s="23" t="n">
        <f aca="false">Q18/15000</f>
        <v>0.52</v>
      </c>
      <c r="R19" s="23" t="n">
        <f aca="false">R18/15000</f>
        <v>0.532666666666667</v>
      </c>
      <c r="S19" s="23" t="n">
        <f aca="false">S18/15000</f>
        <v>0.549333333333333</v>
      </c>
      <c r="T19" s="23" t="n">
        <f aca="false">T18/15000</f>
        <v>0.560666666666667</v>
      </c>
      <c r="U19" s="23" t="n">
        <f aca="false">U18/15000</f>
        <v>0.572666666666667</v>
      </c>
      <c r="V19" s="23" t="n">
        <f aca="false">V18/15000</f>
        <v>0.523666666666667</v>
      </c>
      <c r="W19" s="23" t="n">
        <f aca="false">W18/15000</f>
        <v>0.474666666666667</v>
      </c>
      <c r="X19" s="23" t="n">
        <f aca="false">X18/15000</f>
        <v>0.546666666666667</v>
      </c>
      <c r="Y19" s="23" t="n">
        <f aca="false">Y18/15000</f>
        <v>0.548</v>
      </c>
      <c r="Z19" s="23" t="n">
        <f aca="false">Z18/15000</f>
        <v>0.549333333333333</v>
      </c>
      <c r="AA19" s="23" t="n">
        <f aca="false">AA18/15000</f>
        <v>0.572</v>
      </c>
      <c r="AB19" s="23" t="n">
        <f aca="false">AB18/15000</f>
        <v>0.570666666666667</v>
      </c>
      <c r="AC19" s="23" t="n">
        <f aca="false">AC18/15000</f>
        <v>0.587333333333333</v>
      </c>
      <c r="AD19" s="23" t="n">
        <f aca="false">AD18/15000</f>
        <v>0.664666666666667</v>
      </c>
      <c r="AE19" s="23" t="n">
        <v>0.687333333333333</v>
      </c>
      <c r="AF19" s="23" t="n">
        <v>0.723333333333333</v>
      </c>
      <c r="AG19" s="23" t="n">
        <v>0.749333333333333</v>
      </c>
      <c r="AH19" s="17" t="n">
        <v>0.796</v>
      </c>
      <c r="AI19" s="2"/>
      <c r="AJ19" s="12"/>
      <c r="AK19" s="12"/>
      <c r="AL19" s="12"/>
      <c r="AM19" s="12"/>
      <c r="AN19" s="2"/>
      <c r="AO19" s="2"/>
    </row>
    <row r="20" customFormat="false" ht="12.75" hidden="false" customHeight="true" outlineLevel="0" collapsed="false">
      <c r="A20" s="2"/>
      <c r="B20" s="30"/>
      <c r="C20" s="31" t="n">
        <v>51019.82</v>
      </c>
      <c r="D20" s="32" t="n">
        <v>50531.95</v>
      </c>
      <c r="E20" s="33" t="n">
        <v>51462.34</v>
      </c>
      <c r="F20" s="34" t="n">
        <v>52701.15</v>
      </c>
      <c r="G20" s="34" t="n">
        <v>55977.24</v>
      </c>
      <c r="H20" s="32" t="n">
        <v>53115.86</v>
      </c>
      <c r="I20" s="33" t="n">
        <v>55697.25</v>
      </c>
      <c r="J20" s="34" t="n">
        <v>58049.9</v>
      </c>
      <c r="K20" s="34" t="n">
        <v>59381.73</v>
      </c>
      <c r="L20" s="34" t="n">
        <v>59644.48</v>
      </c>
      <c r="M20" s="32" t="n">
        <v>62166.43</v>
      </c>
      <c r="N20" s="32" t="n">
        <v>62739.29</v>
      </c>
      <c r="O20" s="33" t="n">
        <v>64556.16</v>
      </c>
      <c r="P20" s="34" t="n">
        <v>66789</v>
      </c>
      <c r="Q20" s="34" t="n">
        <v>69393.36</v>
      </c>
      <c r="R20" s="34" t="n">
        <v>72033.44</v>
      </c>
      <c r="S20" s="34" t="n">
        <v>74480</v>
      </c>
      <c r="T20" s="34" t="n">
        <v>75020</v>
      </c>
      <c r="U20" s="34" t="n">
        <v>75600</v>
      </c>
      <c r="V20" s="34" t="n">
        <v>77024.241781294</v>
      </c>
      <c r="W20" s="34" t="n">
        <v>78504.58</v>
      </c>
      <c r="X20" s="34" t="n">
        <v>80073.67</v>
      </c>
      <c r="Y20" s="34" t="n">
        <v>79965.981008651</v>
      </c>
      <c r="Z20" s="34" t="n">
        <v>80881.56</v>
      </c>
      <c r="AA20" s="34" t="n">
        <v>82530.27</v>
      </c>
      <c r="AB20" s="34" t="n">
        <v>83468.01</v>
      </c>
      <c r="AC20" s="34" t="n">
        <v>84541.57</v>
      </c>
      <c r="AD20" s="34" t="n">
        <v>87485.03</v>
      </c>
      <c r="AE20" s="17" t="n">
        <v>90907.74</v>
      </c>
      <c r="AF20" s="17" t="n">
        <v>92832.39</v>
      </c>
      <c r="AG20" s="17" t="n">
        <v>94817.56</v>
      </c>
      <c r="AH20" s="17" t="n">
        <v>96617.43</v>
      </c>
      <c r="AI20" s="2"/>
      <c r="AJ20" s="12"/>
      <c r="AK20" s="12"/>
      <c r="AL20" s="12"/>
      <c r="AM20" s="12"/>
      <c r="AN20" s="2"/>
      <c r="AO20" s="2"/>
    </row>
    <row r="21" customFormat="false" ht="12.75" hidden="false" customHeight="true" outlineLevel="0" collapsed="false">
      <c r="A21" s="2"/>
      <c r="B21" s="30" t="s">
        <v>27</v>
      </c>
      <c r="C21" s="35" t="n">
        <f aca="false">C20/15000</f>
        <v>3.40132133333333</v>
      </c>
      <c r="D21" s="35" t="n">
        <f aca="false">D20/15000</f>
        <v>3.36879666666667</v>
      </c>
      <c r="E21" s="35" t="n">
        <f aca="false">E20/15000</f>
        <v>3.43082266666667</v>
      </c>
      <c r="F21" s="35" t="n">
        <f aca="false">F20/15000</f>
        <v>3.51341</v>
      </c>
      <c r="G21" s="35" t="n">
        <f aca="false">G20/15000</f>
        <v>3.731816</v>
      </c>
      <c r="H21" s="35" t="n">
        <f aca="false">H20/15000</f>
        <v>3.54105733333333</v>
      </c>
      <c r="I21" s="35" t="n">
        <f aca="false">I20/15000</f>
        <v>3.71315</v>
      </c>
      <c r="J21" s="35" t="n">
        <f aca="false">J20/15000</f>
        <v>3.86999333333333</v>
      </c>
      <c r="K21" s="35" t="n">
        <f aca="false">K20/15000</f>
        <v>3.958782</v>
      </c>
      <c r="L21" s="35" t="n">
        <f aca="false">L20/15000</f>
        <v>3.97629866666667</v>
      </c>
      <c r="M21" s="35" t="n">
        <f aca="false">M20/15000</f>
        <v>4.14442866666667</v>
      </c>
      <c r="N21" s="35" t="n">
        <f aca="false">N20/15000</f>
        <v>4.18261933333333</v>
      </c>
      <c r="O21" s="35" t="n">
        <f aca="false">O20/15000</f>
        <v>4.303744</v>
      </c>
      <c r="P21" s="35" t="n">
        <f aca="false">P20/15000</f>
        <v>4.4526</v>
      </c>
      <c r="Q21" s="35" t="n">
        <f aca="false">Q20/15000</f>
        <v>4.626224</v>
      </c>
      <c r="R21" s="31" t="n">
        <f aca="false">R20/15000</f>
        <v>4.80222933333333</v>
      </c>
      <c r="S21" s="31" t="n">
        <f aca="false">S20/15000</f>
        <v>4.96533333333333</v>
      </c>
      <c r="T21" s="35" t="n">
        <f aca="false">T20/15000</f>
        <v>5.00133333333333</v>
      </c>
      <c r="U21" s="35" t="n">
        <f aca="false">U20/15000</f>
        <v>5.04</v>
      </c>
      <c r="V21" s="31" t="n">
        <f aca="false">V20/15000</f>
        <v>5.13494945208627</v>
      </c>
      <c r="W21" s="31" t="n">
        <f aca="false">W20/15000</f>
        <v>5.23363866666667</v>
      </c>
      <c r="X21" s="31" t="n">
        <f aca="false">X20/15000</f>
        <v>5.33824466666667</v>
      </c>
      <c r="Y21" s="31" t="n">
        <f aca="false">Y20/15000</f>
        <v>5.33106540057673</v>
      </c>
      <c r="Z21" s="31" t="n">
        <v>5.392104</v>
      </c>
      <c r="AA21" s="31" t="n">
        <f aca="false">AA20/15000</f>
        <v>5.502018</v>
      </c>
      <c r="AB21" s="31" t="n">
        <f aca="false">AB20/15000</f>
        <v>5.564534</v>
      </c>
      <c r="AC21" s="31" t="n">
        <f aca="false">AC20/15000</f>
        <v>5.63610466666667</v>
      </c>
      <c r="AD21" s="31" t="n">
        <f aca="false">AD20/15000</f>
        <v>5.83233533333333</v>
      </c>
      <c r="AE21" s="17" t="n">
        <v>6.060516</v>
      </c>
      <c r="AF21" s="17" t="n">
        <v>6.188826</v>
      </c>
      <c r="AG21" s="31" t="n">
        <v>6.32117066666667</v>
      </c>
      <c r="AH21" s="17" t="n">
        <v>6.441162</v>
      </c>
      <c r="AI21" s="2"/>
      <c r="AJ21" s="12"/>
      <c r="AK21" s="12"/>
      <c r="AL21" s="12"/>
      <c r="AM21" s="12"/>
      <c r="AN21" s="2"/>
      <c r="AO21" s="2"/>
    </row>
    <row r="22" customFormat="false" ht="12.75" hidden="false" customHeight="true" outlineLevel="0" collapsed="false">
      <c r="A22" s="2"/>
      <c r="B22" s="36" t="s">
        <v>28</v>
      </c>
      <c r="C22" s="37" t="n">
        <f aca="false">C5+C7+C11+C13+C15+C17+C21</f>
        <v>83.167188</v>
      </c>
      <c r="D22" s="37" t="n">
        <f aca="false">D5+D7+D11+D13+D15+D17+D21</f>
        <v>83.51553</v>
      </c>
      <c r="E22" s="37" t="n">
        <f aca="false">E5+E7+E11+E13+E15+E17+E21</f>
        <v>84.134956</v>
      </c>
      <c r="F22" s="37" t="n">
        <f aca="false">F5+F7+F11+F13+F15+F17+F21</f>
        <v>84.6684766666667</v>
      </c>
      <c r="G22" s="37" t="n">
        <f aca="false">G5+G7+G11+G13+G15+G17+G21</f>
        <v>85.404216</v>
      </c>
      <c r="H22" s="37" t="n">
        <f aca="false">H5+H7+H11+H13+H15+H17+H21</f>
        <v>85.135124</v>
      </c>
      <c r="I22" s="37" t="n">
        <f aca="false">I5+I7+I11+I13+I15+I17+I21</f>
        <v>86.0784166666667</v>
      </c>
      <c r="J22" s="37" t="n">
        <f aca="false">J5+J7+J11+J13+J15+J17+J21</f>
        <v>86.9321266666667</v>
      </c>
      <c r="K22" s="37" t="n">
        <f aca="false">K5+K7+K11+K13+K15+K17+K21</f>
        <v>87.8833153333333</v>
      </c>
      <c r="L22" s="37" t="n">
        <f aca="false">L5+L7+L11+L13+L15+L17+L21</f>
        <v>88.9481653333333</v>
      </c>
      <c r="M22" s="37" t="n">
        <f aca="false">M5+M7+M11+M13+M15+M17+M21</f>
        <v>91.0036286666667</v>
      </c>
      <c r="N22" s="37" t="n">
        <f aca="false">N5+N7+N11+N13+N15+N17+N21</f>
        <v>91.3776193333333</v>
      </c>
      <c r="O22" s="37" t="n">
        <f aca="false">O5+O7+O11+O13+O15+O17+O21</f>
        <v>92.1330773333333</v>
      </c>
      <c r="P22" s="37" t="n">
        <f aca="false">P5+P7+P11+P13+P15+P17+P21</f>
        <v>92.8492</v>
      </c>
      <c r="Q22" s="37" t="n">
        <f aca="false">Q5+Q7+Q11+Q13+Q15+Q17+Q21</f>
        <v>93.9553573333333</v>
      </c>
      <c r="R22" s="37" t="n">
        <f aca="false">R5+R7+R11+R13+R15+R17+R21</f>
        <v>95.0835626666667</v>
      </c>
      <c r="S22" s="37" t="n">
        <f aca="false">S5+S7+S11+S13+S15+S17+S21</f>
        <v>96.1282</v>
      </c>
      <c r="T22" s="38" t="n">
        <f aca="false">T5+T7+T11+T13+T15+T17+T21</f>
        <v>96.9118972304007</v>
      </c>
      <c r="U22" s="38" t="n">
        <f aca="false">U5+U7+U11+U13+U15+U17+U21</f>
        <v>97.505233875502</v>
      </c>
      <c r="V22" s="38" t="n">
        <f aca="false">V5+V7+V11+V13+V15+V17+V21</f>
        <v>98.2839016111454</v>
      </c>
      <c r="W22" s="38" t="n">
        <f aca="false">W5+W7+W11+W13+W15+W17+W21</f>
        <v>98.7546866138417</v>
      </c>
      <c r="X22" s="38" t="n">
        <f aca="false">X5+X7+X11+X13+X15+X17+X21</f>
        <v>99.2286577982142</v>
      </c>
      <c r="Y22" s="38" t="n">
        <f aca="false">Y5+Y7+Y11+Y13+Y15+Y17+Y21</f>
        <v>99.7028654005767</v>
      </c>
      <c r="Z22" s="38" t="n">
        <f aca="false">Z5+Z7+Z11+Z13+Z15+Z17+Z21</f>
        <v>99.5880373333333</v>
      </c>
      <c r="AA22" s="38" t="n">
        <f aca="false">AA5+AA7+AA11+AA13+AA15+AA17+AA21</f>
        <v>100.171218</v>
      </c>
      <c r="AB22" s="38" t="n">
        <f aca="false">AB5+AB7+AB11+AB13+AB15+AB17+AB21</f>
        <v>100.508400666667</v>
      </c>
      <c r="AC22" s="38" t="n">
        <f aca="false">AC5+AC7+AC11+AC13+AC15+AC17+AC21</f>
        <v>101.163638</v>
      </c>
      <c r="AD22" s="38" t="n">
        <f aca="false">AD5+AD7+AD11+AD13+AD15+AD17+AD21</f>
        <v>101.810068666667</v>
      </c>
      <c r="AE22" s="38" t="n">
        <f aca="false">AE5+AE7+AE11+AE13+AE15+AE17+AE21</f>
        <v>102.405116</v>
      </c>
      <c r="AF22" s="38" t="n">
        <f aca="false">AF5+AF7+AF11+AF13+AF15+AF17+AF21</f>
        <v>102.828159333333</v>
      </c>
      <c r="AG22" s="38" t="n">
        <f aca="false">AG5+AG7+AG11+AG13+AG15+AG17+AG21</f>
        <v>102.993170666667</v>
      </c>
      <c r="AH22" s="38" t="n">
        <f aca="false">AH5+AH7+AH11+AH13+AH15+AH17+AH21</f>
        <v>103.406562</v>
      </c>
      <c r="AI22" s="2"/>
      <c r="AJ22" s="12"/>
      <c r="AK22" s="12"/>
      <c r="AL22" s="12"/>
      <c r="AM22" s="12"/>
      <c r="AN22" s="2"/>
      <c r="AO22" s="2"/>
    </row>
    <row r="23" customFormat="false" ht="12.75" hidden="false" customHeight="true" outlineLevel="0" collapsed="false">
      <c r="A23" s="2"/>
      <c r="B23" s="39" t="s">
        <v>29</v>
      </c>
      <c r="C23" s="40" t="n">
        <f aca="false">C7+C9+C11+C17+C19+C21</f>
        <v>55.6835213333333</v>
      </c>
      <c r="D23" s="40" t="n">
        <f aca="false">D7+D9+D11+D17+D19+D21</f>
        <v>55.6102633333333</v>
      </c>
      <c r="E23" s="40" t="n">
        <f aca="false">E7+E9+E11+E17+E19+E21</f>
        <v>55.9514893333333</v>
      </c>
      <c r="F23" s="40" t="n">
        <f aca="false">F7+F9+F11+F17+F19+F21</f>
        <v>56.1470766666667</v>
      </c>
      <c r="G23" s="40" t="n">
        <f aca="false">G7+G9+G11+G17+G19+G21</f>
        <v>56.681416</v>
      </c>
      <c r="H23" s="40" t="n">
        <f aca="false">H7+H9+H11+H17+H19+H21</f>
        <v>56.121724</v>
      </c>
      <c r="I23" s="40" t="n">
        <f aca="false">I7+I9+I11+I17+I19+I21</f>
        <v>56.7452166666667</v>
      </c>
      <c r="J23" s="40" t="n">
        <f aca="false">J7+J9+J11+J17+J19+J21</f>
        <v>57.2869933333333</v>
      </c>
      <c r="K23" s="40" t="n">
        <f aca="false">K7+K9+K11+K17+K19+K21</f>
        <v>57.8466486666667</v>
      </c>
      <c r="L23" s="40" t="n">
        <f aca="false">L7+L9+L11+L17+L19+L21</f>
        <v>58.5466986666667</v>
      </c>
      <c r="M23" s="40" t="n">
        <f aca="false">M7+M9+M11+M17+M19+M21</f>
        <v>59.9418953333333</v>
      </c>
      <c r="N23" s="40" t="n">
        <f aca="false">N7+N9+N11+N17+N19+N21</f>
        <v>59.7413526666667</v>
      </c>
      <c r="O23" s="40" t="n">
        <f aca="false">O7+O9+O11+O17+O19+O21</f>
        <v>60.7644773333333</v>
      </c>
      <c r="P23" s="40" t="n">
        <f aca="false">P7+P9+P11+P17+P19+P21</f>
        <v>62.7135333333333</v>
      </c>
      <c r="Q23" s="40" t="n">
        <f aca="false">Q7+Q9+Q11+Q17+Q19+Q21</f>
        <v>63.601224</v>
      </c>
      <c r="R23" s="40" t="n">
        <f aca="false">R7+R9+R11+R17+R19+R21</f>
        <v>64.501296</v>
      </c>
      <c r="S23" s="40" t="n">
        <f aca="false">S7+S9+S11+S17+S19+S21</f>
        <v>65.4437333333333</v>
      </c>
      <c r="T23" s="40" t="n">
        <f aca="false">T7+T9+T11+T17+T19+T21</f>
        <v>66.2108677958497</v>
      </c>
      <c r="U23" s="40" t="n">
        <f aca="false">U7+U9+U11+U17+U19+U21</f>
        <v>66.8416501054454</v>
      </c>
      <c r="V23" s="40" t="n">
        <f aca="false">V7+V9+V11+V17+V19+V21</f>
        <v>67.4703938935195</v>
      </c>
      <c r="W23" s="40" t="n">
        <f aca="false">W7+W9+W11+W17+W19+W21</f>
        <v>67.6079760935774</v>
      </c>
      <c r="X23" s="40" t="n">
        <f aca="false">X7+X9+X11+X17+X19+X21</f>
        <v>68.1054038565739</v>
      </c>
      <c r="Y23" s="40" t="n">
        <f aca="false">Y7+Y9+Y11+Y17+Y19+Y21</f>
        <v>68.4791987339101</v>
      </c>
      <c r="Z23" s="40" t="n">
        <f aca="false">Z7+Z9+Z11+Z17+Z19+Z21</f>
        <v>68.568904</v>
      </c>
      <c r="AA23" s="40" t="n">
        <f aca="false">AA7+AA9+AA11+AA17+AA19+AA21</f>
        <v>69.2391513333333</v>
      </c>
      <c r="AB23" s="40" t="n">
        <f aca="false">AB7+AB9+AB11+AB17+AB19+AB21</f>
        <v>69.8470006666667</v>
      </c>
      <c r="AC23" s="40" t="n">
        <f aca="false">AC7+AC9+AC11+AC17+AC19+AC21</f>
        <v>70.6949713333333</v>
      </c>
      <c r="AD23" s="40" t="n">
        <f aca="false">AD7+AD9+AD11+AD17+AD19+AD21</f>
        <v>71.4873353333333</v>
      </c>
      <c r="AE23" s="40" t="n">
        <f aca="false">AE7+AE9+AE11+AE17+AE19+AE21</f>
        <v>72.2240493333333</v>
      </c>
      <c r="AF23" s="40" t="n">
        <f aca="false">AF7+AF9+AF11+AF17+AF19+AF21</f>
        <v>73.1590926666667</v>
      </c>
      <c r="AG23" s="40" t="n">
        <f aca="false">AG7+AG9+AG11+AG17+AG19+AG21</f>
        <v>73.8375706666667</v>
      </c>
      <c r="AH23" s="40" t="n">
        <f aca="false">AH7+AH9+AH11+AH17+AH19+AH21</f>
        <v>74.5976953333334</v>
      </c>
      <c r="AI23" s="2"/>
      <c r="AJ23" s="12"/>
      <c r="AK23" s="12"/>
      <c r="AL23" s="12"/>
      <c r="AM23" s="12"/>
      <c r="AN23" s="2"/>
      <c r="AO23" s="2"/>
    </row>
    <row r="24" customFormat="false" ht="12.75" hidden="false" customHeight="true" outlineLevel="0" collapsed="false">
      <c r="A24" s="2"/>
      <c r="B24" s="36" t="s">
        <v>30</v>
      </c>
      <c r="C24" s="40" t="n">
        <f aca="false">C17+C19+C21</f>
        <v>4.34045466666667</v>
      </c>
      <c r="D24" s="40" t="n">
        <f aca="false">D17+D19+D21</f>
        <v>4.29966333333333</v>
      </c>
      <c r="E24" s="40" t="n">
        <f aca="false">E17+E19+E21</f>
        <v>4.33668933333333</v>
      </c>
      <c r="F24" s="40" t="n">
        <f aca="false">F17+F19+F21</f>
        <v>4.40787666666667</v>
      </c>
      <c r="G24" s="40" t="n">
        <f aca="false">G17+G19+G21</f>
        <v>4.613416</v>
      </c>
      <c r="H24" s="40" t="n">
        <f aca="false">H17+H19+H21</f>
        <v>4.39745733333333</v>
      </c>
      <c r="I24" s="40" t="n">
        <f aca="false">I17+I19+I21</f>
        <v>4.55388333333333</v>
      </c>
      <c r="J24" s="40" t="n">
        <f aca="false">J17+J19+J21</f>
        <v>4.66312666666667</v>
      </c>
      <c r="K24" s="40" t="n">
        <f aca="false">K17+K19+K21</f>
        <v>4.74791533333333</v>
      </c>
      <c r="L24" s="40" t="n">
        <f aca="false">L17+L19+L21</f>
        <v>4.772632</v>
      </c>
      <c r="M24" s="40" t="n">
        <f aca="false">M17+M19+M21</f>
        <v>5.423762</v>
      </c>
      <c r="N24" s="40" t="n">
        <f aca="false">N17+N19+N21</f>
        <v>5.08095266666667</v>
      </c>
      <c r="O24" s="40" t="n">
        <f aca="false">O17+O19+O21</f>
        <v>5.68487733333333</v>
      </c>
      <c r="P24" s="40" t="n">
        <f aca="false">P17+P19+P21</f>
        <v>5.89573333333333</v>
      </c>
      <c r="Q24" s="40" t="n">
        <f aca="false">Q17+Q19+Q21</f>
        <v>6.14209066666667</v>
      </c>
      <c r="R24" s="40" t="n">
        <f aca="false">R17+R19+R21</f>
        <v>6.34142933333333</v>
      </c>
      <c r="S24" s="40" t="n">
        <f aca="false">S17+S19+S21</f>
        <v>6.54773333333333</v>
      </c>
      <c r="T24" s="40" t="n">
        <f aca="false">T17+T19+T21</f>
        <v>6.609394034</v>
      </c>
      <c r="U24" s="40" t="n">
        <f aca="false">U17+U19+U21</f>
        <v>6.67652360733333</v>
      </c>
      <c r="V24" s="40" t="n">
        <f aca="false">V17+V19+V21</f>
        <v>6.74899992608627</v>
      </c>
      <c r="W24" s="40" t="n">
        <f aca="false">W17+W19+W21</f>
        <v>6.81983866666667</v>
      </c>
      <c r="X24" s="40" t="n">
        <f aca="false">X17+X19+X21</f>
        <v>7.022778</v>
      </c>
      <c r="Y24" s="40" t="n">
        <f aca="false">Y17+Y19+Y21</f>
        <v>7.04559873391007</v>
      </c>
      <c r="Z24" s="40" t="n">
        <f aca="false">Z17+Z19+Z21</f>
        <v>7.10703733333333</v>
      </c>
      <c r="AA24" s="40" t="n">
        <f aca="false">AA17+AA19+AA21</f>
        <v>7.26628466666667</v>
      </c>
      <c r="AB24" s="40" t="n">
        <f aca="false">AB17+AB19+AB21</f>
        <v>7.34200066666667</v>
      </c>
      <c r="AC24" s="40" t="n">
        <f aca="false">AC17+AC19+AC21</f>
        <v>7.52617133333333</v>
      </c>
      <c r="AD24" s="40" t="n">
        <f aca="false">AD17+AD19+AD21</f>
        <v>7.78713533333333</v>
      </c>
      <c r="AE24" s="40" t="n">
        <f aca="false">AE17+AE19+AE21</f>
        <v>8.06484933333333</v>
      </c>
      <c r="AF24" s="40" t="n">
        <f aca="false">AF17+AF19+AF21</f>
        <v>8.272626</v>
      </c>
      <c r="AG24" s="40" t="n">
        <f aca="false">AG17+AG19+AG21</f>
        <v>8.57857066666667</v>
      </c>
      <c r="AH24" s="40" t="n">
        <f aca="false">AH17+AH19+AH21</f>
        <v>8.788762</v>
      </c>
      <c r="AI24" s="2"/>
      <c r="AJ24" s="12"/>
      <c r="AK24" s="12"/>
      <c r="AL24" s="12"/>
      <c r="AM24" s="12"/>
      <c r="AN24" s="2"/>
      <c r="AO24" s="2"/>
    </row>
    <row r="25" customFormat="false" ht="12.75" hidden="false" customHeight="true" outlineLevel="0" collapsed="false">
      <c r="A25" s="2"/>
      <c r="B25" s="41"/>
      <c r="C25" s="42"/>
      <c r="D25" s="43"/>
      <c r="E25" s="43"/>
      <c r="F25" s="44"/>
      <c r="G25" s="44"/>
      <c r="H25" s="45"/>
      <c r="I25" s="45"/>
      <c r="J25" s="41"/>
      <c r="K25" s="46"/>
      <c r="L25" s="46"/>
      <c r="M25" s="47"/>
      <c r="N25" s="48"/>
      <c r="O25" s="49"/>
      <c r="P25" s="2"/>
      <c r="Q25" s="2"/>
      <c r="R25" s="2"/>
      <c r="S25" s="2"/>
      <c r="T25" s="2"/>
      <c r="U25" s="2"/>
      <c r="V25" s="2"/>
      <c r="W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12"/>
      <c r="AM25" s="12"/>
      <c r="AN25" s="12"/>
      <c r="AO25" s="12"/>
      <c r="AP25" s="2"/>
      <c r="AQ25" s="2"/>
    </row>
    <row r="26" customFormat="false" ht="12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5"/>
      <c r="K26" s="5"/>
      <c r="L26" s="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customFormat="false" ht="12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5"/>
      <c r="K27" s="5"/>
      <c r="L27" s="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customFormat="false" ht="12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5"/>
      <c r="K28" s="5"/>
      <c r="L28" s="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customFormat="false" ht="12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5"/>
      <c r="K29" s="5"/>
      <c r="L29" s="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customFormat="false" ht="12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5"/>
      <c r="K30" s="5"/>
      <c r="L30" s="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customFormat="false" ht="12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5"/>
      <c r="K31" s="5"/>
      <c r="L31" s="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customFormat="false" ht="12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5"/>
      <c r="K32" s="5"/>
      <c r="L32" s="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customFormat="false" ht="12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5"/>
      <c r="K33" s="5"/>
      <c r="L33" s="5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customFormat="false" ht="12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5"/>
      <c r="K34" s="5"/>
      <c r="L34" s="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customFormat="false" ht="12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5"/>
      <c r="K35" s="5"/>
      <c r="L35" s="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customFormat="false" ht="12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5"/>
      <c r="K36" s="5"/>
      <c r="L36" s="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customFormat="false" ht="12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5"/>
      <c r="K37" s="5"/>
      <c r="L37" s="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customFormat="false" ht="12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5"/>
      <c r="K38" s="5"/>
      <c r="L38" s="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customFormat="false" ht="12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5"/>
      <c r="K39" s="5"/>
      <c r="L39" s="5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customFormat="false" ht="12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5"/>
      <c r="K40" s="5"/>
      <c r="L40" s="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customFormat="false" ht="12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5"/>
      <c r="K41" s="5"/>
      <c r="L41" s="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customFormat="false" ht="12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5"/>
      <c r="K42" s="5"/>
      <c r="L42" s="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customFormat="false" ht="12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5"/>
      <c r="K43" s="5"/>
      <c r="L43" s="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customFormat="false" ht="12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5"/>
      <c r="K44" s="5"/>
      <c r="L44" s="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customFormat="false" ht="12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5"/>
      <c r="K45" s="5"/>
      <c r="L45" s="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customFormat="false" ht="12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5"/>
      <c r="K46" s="5"/>
      <c r="L46" s="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customFormat="false" ht="12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5"/>
      <c r="K47" s="5"/>
      <c r="L47" s="5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customFormat="false" ht="12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5"/>
      <c r="K48" s="5"/>
      <c r="L48" s="5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customFormat="false" ht="12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5"/>
      <c r="K49" s="5"/>
      <c r="L49" s="5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customFormat="false" ht="12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5"/>
      <c r="K50" s="5"/>
      <c r="L50" s="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customFormat="false" ht="12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5"/>
      <c r="K51" s="5"/>
      <c r="L51" s="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customFormat="false" ht="12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5"/>
      <c r="K52" s="5"/>
      <c r="L52" s="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customFormat="false" ht="12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5"/>
      <c r="K53" s="5"/>
      <c r="L53" s="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customFormat="false" ht="12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5"/>
      <c r="K54" s="5"/>
      <c r="L54" s="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customFormat="false" ht="12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5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customFormat="false" ht="12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5"/>
      <c r="K56" s="5"/>
      <c r="L56" s="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customFormat="false" ht="12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5"/>
      <c r="K57" s="5"/>
      <c r="L57" s="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customFormat="false" ht="12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5"/>
      <c r="K58" s="5"/>
      <c r="L58" s="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customFormat="false" ht="12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5"/>
      <c r="K59" s="5"/>
      <c r="L59" s="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customFormat="false" ht="12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5"/>
      <c r="K60" s="5"/>
      <c r="L60" s="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customFormat="false" ht="12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5"/>
      <c r="K61" s="5"/>
      <c r="L61" s="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customFormat="false" ht="12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5"/>
      <c r="K62" s="5"/>
      <c r="L62" s="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customFormat="false" ht="12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5"/>
      <c r="K63" s="5"/>
      <c r="L63" s="5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customFormat="false" ht="12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5"/>
      <c r="K64" s="5"/>
      <c r="L64" s="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customFormat="false" ht="12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5"/>
      <c r="K65" s="5"/>
      <c r="L65" s="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customFormat="false" ht="12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5"/>
      <c r="K66" s="5"/>
      <c r="L66" s="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customFormat="false" ht="12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5"/>
      <c r="K67" s="5"/>
      <c r="L67" s="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customFormat="false" ht="12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5"/>
      <c r="K68" s="5"/>
      <c r="L68" s="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customFormat="false" ht="12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5"/>
      <c r="K69" s="5"/>
      <c r="L69" s="5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customFormat="false" ht="12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5"/>
      <c r="K70" s="5"/>
      <c r="L70" s="5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customFormat="false" ht="12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5"/>
      <c r="K71" s="5"/>
      <c r="L71" s="5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customFormat="false" ht="12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5"/>
      <c r="K72" s="5"/>
      <c r="L72" s="5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customFormat="false" ht="12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5"/>
      <c r="K73" s="5"/>
      <c r="L73" s="5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customFormat="false" ht="12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5"/>
      <c r="K74" s="5"/>
      <c r="L74" s="5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customFormat="false" ht="12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5"/>
      <c r="K75" s="5"/>
      <c r="L75" s="5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customFormat="false" ht="12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5"/>
      <c r="K76" s="5"/>
      <c r="L76" s="5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customFormat="false" ht="12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5"/>
      <c r="K77" s="5"/>
      <c r="L77" s="5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customFormat="false" ht="12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5"/>
      <c r="K78" s="5"/>
      <c r="L78" s="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customFormat="false" ht="12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5"/>
      <c r="K79" s="5"/>
      <c r="L79" s="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customFormat="false" ht="12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5"/>
      <c r="K80" s="5"/>
      <c r="L80" s="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customFormat="false" ht="12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5"/>
      <c r="K81" s="5"/>
      <c r="L81" s="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customFormat="false" ht="12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5"/>
      <c r="K82" s="5"/>
      <c r="L82" s="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customFormat="false" ht="12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5"/>
      <c r="K83" s="5"/>
      <c r="L83" s="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customFormat="false" ht="12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5"/>
      <c r="K84" s="5"/>
      <c r="L84" s="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customFormat="false" ht="12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5"/>
      <c r="K85" s="5"/>
      <c r="L85" s="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customFormat="false" ht="12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5"/>
      <c r="K86" s="5"/>
      <c r="L86" s="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customFormat="false" ht="12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5"/>
      <c r="K87" s="5"/>
      <c r="L87" s="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customFormat="false" ht="12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5"/>
      <c r="K88" s="5"/>
      <c r="L88" s="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customFormat="false" ht="12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5"/>
      <c r="K89" s="5"/>
      <c r="L89" s="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customFormat="false" ht="12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5"/>
      <c r="K90" s="5"/>
      <c r="L90" s="5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customFormat="false" ht="12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5"/>
      <c r="K91" s="5"/>
      <c r="L91" s="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customFormat="false" ht="12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5"/>
      <c r="K92" s="5"/>
      <c r="L92" s="5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customFormat="false" ht="12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5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customFormat="false" ht="12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5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customFormat="false" ht="12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5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customFormat="false" ht="12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5"/>
      <c r="K96" s="5"/>
      <c r="L96" s="5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customFormat="false" ht="12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5"/>
      <c r="K97" s="5"/>
      <c r="L97" s="5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customFormat="false" ht="12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5"/>
      <c r="K98" s="5"/>
      <c r="L98" s="5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customFormat="false" ht="12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5"/>
      <c r="K99" s="5"/>
      <c r="L99" s="5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customFormat="false" ht="12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5"/>
      <c r="L100" s="5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customFormat="false" ht="12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5"/>
      <c r="L101" s="5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customFormat="false" ht="12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5"/>
      <c r="L102" s="5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customFormat="false" ht="12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5"/>
      <c r="L103" s="5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customFormat="false" ht="12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5"/>
      <c r="L104" s="5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customFormat="false" ht="12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5"/>
      <c r="L105" s="5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customFormat="false" ht="12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5"/>
      <c r="L106" s="5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customFormat="false" ht="12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5"/>
      <c r="L107" s="5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customFormat="false" ht="12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5"/>
      <c r="L108" s="5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customFormat="false" ht="12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5"/>
      <c r="L109" s="5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customFormat="false" ht="12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5"/>
      <c r="L110" s="5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customFormat="false" ht="12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5"/>
      <c r="K111" s="5"/>
      <c r="L111" s="5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customFormat="false" ht="12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5"/>
      <c r="K112" s="5"/>
      <c r="L112" s="5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customFormat="false" ht="12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5"/>
      <c r="K113" s="5"/>
      <c r="L113" s="5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customFormat="false" ht="12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5"/>
      <c r="K114" s="5"/>
      <c r="L114" s="5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customFormat="false" ht="12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5"/>
      <c r="K115" s="5"/>
      <c r="L115" s="5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customFormat="false" ht="12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5"/>
      <c r="K116" s="5"/>
      <c r="L116" s="5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customFormat="false" ht="12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5"/>
      <c r="K117" s="5"/>
      <c r="L117" s="5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customFormat="false" ht="12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5"/>
      <c r="K118" s="5"/>
      <c r="L118" s="5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customFormat="false" ht="12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5"/>
      <c r="K119" s="5"/>
      <c r="L119" s="5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AD18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42" activeCellId="0" sqref="C42"/>
    </sheetView>
  </sheetViews>
  <sheetFormatPr defaultColWidth="8.59375" defaultRowHeight="12.75" zeroHeight="false" outlineLevelRow="0" outlineLevelCol="0"/>
  <cols>
    <col collapsed="false" customWidth="true" hidden="false" outlineLevel="0" max="1" min="1" style="1" width="5.82"/>
    <col collapsed="false" customWidth="true" hidden="false" outlineLevel="0" max="2" min="2" style="1" width="36.27"/>
    <col collapsed="false" customWidth="true" hidden="false" outlineLevel="0" max="8" min="3" style="1" width="14.46"/>
    <col collapsed="false" customWidth="true" hidden="false" outlineLevel="0" max="9" min="9" style="1" width="16.63"/>
    <col collapsed="false" customWidth="true" hidden="false" outlineLevel="0" max="21" min="10" style="1" width="14.46"/>
    <col collapsed="false" customWidth="true" hidden="false" outlineLevel="0" max="22" min="22" style="1" width="16.63"/>
    <col collapsed="false" customWidth="true" hidden="false" outlineLevel="0" max="23" min="23" style="1" width="69.63"/>
    <col collapsed="false" customWidth="true" hidden="false" outlineLevel="0" max="29" min="24" style="1" width="14.46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5"/>
      <c r="K1" s="5"/>
      <c r="L1" s="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5" hidden="false" customHeight="true" outlineLevel="0" collapsed="false">
      <c r="A2" s="2"/>
      <c r="B2" s="50" t="s">
        <v>31</v>
      </c>
      <c r="C2" s="2"/>
      <c r="D2" s="2"/>
      <c r="E2" s="2"/>
      <c r="F2" s="2"/>
      <c r="G2" s="2"/>
      <c r="H2" s="2"/>
      <c r="I2" s="2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true" outlineLevel="0" collapsed="false">
      <c r="A3" s="2"/>
      <c r="B3" s="6" t="s">
        <v>32</v>
      </c>
      <c r="C3" s="51"/>
      <c r="D3" s="2"/>
      <c r="E3" s="2"/>
      <c r="F3" s="2"/>
      <c r="G3" s="2"/>
      <c r="H3" s="2"/>
      <c r="I3" s="2"/>
      <c r="J3" s="5"/>
      <c r="K3" s="5"/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15" hidden="false" customHeight="true" outlineLevel="0" collapsed="false">
      <c r="A4" s="2"/>
      <c r="B4" s="6" t="s">
        <v>33</v>
      </c>
      <c r="C4" s="12"/>
      <c r="D4" s="12"/>
      <c r="E4" s="12"/>
      <c r="F4" s="12"/>
      <c r="G4" s="2"/>
      <c r="H4" s="2"/>
      <c r="I4" s="2"/>
      <c r="J4" s="5"/>
      <c r="K4" s="5"/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customFormat="false" ht="12.75" hidden="false" customHeight="true" outlineLevel="0" collapsed="false">
      <c r="A5" s="2"/>
      <c r="B5" s="8" t="s">
        <v>2</v>
      </c>
      <c r="C5" s="9" t="n">
        <v>2018</v>
      </c>
      <c r="D5" s="9" t="n">
        <v>2019</v>
      </c>
      <c r="E5" s="9" t="n">
        <v>2020</v>
      </c>
      <c r="F5" s="9" t="n">
        <v>2021</v>
      </c>
      <c r="G5" s="9" t="n">
        <v>2022</v>
      </c>
      <c r="H5" s="9" t="n">
        <v>2023</v>
      </c>
      <c r="I5" s="9" t="s">
        <v>34</v>
      </c>
      <c r="J5" s="52"/>
      <c r="K5" s="52" t="s">
        <v>35</v>
      </c>
      <c r="L5" s="52" t="s">
        <v>36</v>
      </c>
      <c r="M5" s="53" t="s">
        <v>37</v>
      </c>
      <c r="N5" s="53" t="s">
        <v>38</v>
      </c>
      <c r="O5" s="54"/>
      <c r="P5" s="54"/>
      <c r="Q5" s="55" t="s">
        <v>39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customFormat="false" ht="15" hidden="false" customHeight="true" outlineLevel="0" collapsed="false">
      <c r="A6" s="2"/>
      <c r="B6" s="56" t="s">
        <v>40</v>
      </c>
      <c r="C6" s="57" t="n">
        <v>1040</v>
      </c>
      <c r="D6" s="57" t="n">
        <v>1120</v>
      </c>
      <c r="E6" s="57" t="n">
        <v>1096</v>
      </c>
      <c r="F6" s="57" t="n">
        <v>1132</v>
      </c>
      <c r="G6" s="58" t="n">
        <f aca="false">F6*(1+5.3%)</f>
        <v>1191.996</v>
      </c>
      <c r="H6" s="58" t="n">
        <f aca="false">G6*1.0505</f>
        <v>1252.191798</v>
      </c>
      <c r="I6" s="58" t="n">
        <f aca="false">H6*(1+$Q$6)</f>
        <v>1313.549196102</v>
      </c>
      <c r="J6" s="44"/>
      <c r="K6" s="44" t="n">
        <f aca="false">I6*(1+$Q$6)</f>
        <v>1377.913106711</v>
      </c>
      <c r="L6" s="44" t="n">
        <f aca="false">K6*(1+$Q$6)</f>
        <v>1445.43084893984</v>
      </c>
      <c r="M6" s="44" t="n">
        <f aca="false">L6*(1+$Q$6)</f>
        <v>1516.25696053789</v>
      </c>
      <c r="N6" s="59" t="n">
        <f aca="false">M6*(1+$Q$6)</f>
        <v>1590.55355160425</v>
      </c>
      <c r="O6" s="16"/>
      <c r="P6" s="16"/>
      <c r="Q6" s="16" t="n">
        <v>0.049</v>
      </c>
      <c r="R6" s="60"/>
      <c r="S6" s="60"/>
      <c r="T6" s="60" t="s">
        <v>41</v>
      </c>
      <c r="U6" s="2"/>
      <c r="V6" s="2"/>
      <c r="W6" s="2"/>
      <c r="X6" s="2"/>
      <c r="Y6" s="2"/>
      <c r="Z6" s="2"/>
      <c r="AA6" s="2"/>
      <c r="AB6" s="2"/>
      <c r="AC6" s="2"/>
    </row>
    <row r="7" customFormat="false" ht="12.75" hidden="false" customHeight="true" outlineLevel="0" collapsed="false">
      <c r="A7" s="2"/>
      <c r="B7" s="61" t="s">
        <v>42</v>
      </c>
      <c r="C7" s="57"/>
      <c r="D7" s="57" t="n">
        <v>118</v>
      </c>
      <c r="E7" s="57"/>
      <c r="F7" s="57" t="n">
        <v>133.5</v>
      </c>
      <c r="G7" s="62"/>
      <c r="H7" s="63"/>
      <c r="I7" s="63"/>
      <c r="J7" s="64"/>
      <c r="K7" s="64"/>
      <c r="L7" s="5"/>
      <c r="M7" s="2"/>
      <c r="N7" s="6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customFormat="false" ht="12.75" hidden="false" customHeight="true" outlineLevel="0" collapsed="false">
      <c r="A8" s="2"/>
      <c r="B8" s="56" t="s">
        <v>28</v>
      </c>
      <c r="C8" s="57" t="n">
        <v>74.3</v>
      </c>
      <c r="D8" s="57" t="n">
        <v>79.9</v>
      </c>
      <c r="E8" s="57" t="n">
        <v>75.2</v>
      </c>
      <c r="F8" s="57" t="n">
        <v>77.1</v>
      </c>
      <c r="G8" s="62" t="n">
        <v>88</v>
      </c>
      <c r="H8" s="58" t="n">
        <f aca="false">J36</f>
        <v>93.3625342857143</v>
      </c>
      <c r="I8" s="63" t="e">
        <f aca="false">K36</f>
        <v>#VALUE!</v>
      </c>
      <c r="J8" s="64"/>
      <c r="K8" s="64"/>
      <c r="L8" s="5"/>
      <c r="M8" s="2"/>
      <c r="N8" s="6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customFormat="false" ht="12.75" hidden="false" customHeight="true" outlineLevel="0" collapsed="false">
      <c r="A9" s="2"/>
      <c r="B9" s="56" t="s">
        <v>29</v>
      </c>
      <c r="C9" s="58" t="n">
        <f aca="false">C29+C30+C33+C34</f>
        <v>33.7</v>
      </c>
      <c r="D9" s="58" t="n">
        <f aca="false">D29+D30+D33+D34</f>
        <v>38.9</v>
      </c>
      <c r="E9" s="58" t="n">
        <f aca="false">E29+E30+E33+E34</f>
        <v>44.4</v>
      </c>
      <c r="F9" s="58" t="n">
        <f aca="false">F29+F30+F33+F34</f>
        <v>48.3</v>
      </c>
      <c r="G9" s="58" t="n">
        <f aca="false">G29+G30+G33+G34</f>
        <v>49.8</v>
      </c>
      <c r="H9" s="58" t="n">
        <f aca="false">H29+H30+H33+H34</f>
        <v>52.6</v>
      </c>
      <c r="I9" s="58" t="n">
        <f aca="false">I29+I30+I33+I34</f>
        <v>59.8</v>
      </c>
      <c r="J9" s="5"/>
      <c r="K9" s="5"/>
      <c r="L9" s="5"/>
      <c r="M9" s="66"/>
      <c r="N9" s="6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customFormat="false" ht="15" hidden="false" customHeight="true" outlineLevel="0" collapsed="false">
      <c r="A10" s="2"/>
      <c r="B10" s="56" t="s">
        <v>43</v>
      </c>
      <c r="C10" s="67" t="n">
        <f aca="false">C8/C6</f>
        <v>0.0714423076923077</v>
      </c>
      <c r="D10" s="67" t="n">
        <f aca="false">D8/D6</f>
        <v>0.0713392857142857</v>
      </c>
      <c r="E10" s="67" t="n">
        <f aca="false">E8/E6</f>
        <v>0.0686131386861314</v>
      </c>
      <c r="F10" s="67" t="n">
        <f aca="false">F8/F6</f>
        <v>0.0681095406360424</v>
      </c>
      <c r="G10" s="67" t="n">
        <f aca="false">G8/G6</f>
        <v>0.0738257510931245</v>
      </c>
      <c r="H10" s="67" t="n">
        <f aca="false">H8/H6</f>
        <v>0.0745592923023717</v>
      </c>
      <c r="I10" s="67" t="e">
        <f aca="false">I8/I6</f>
        <v>#VALUE!</v>
      </c>
      <c r="J10" s="68"/>
      <c r="K10" s="68" t="n">
        <v>0.105</v>
      </c>
      <c r="L10" s="66" t="n">
        <v>0.116</v>
      </c>
      <c r="M10" s="66" t="n">
        <f aca="false">AVERAGE(L10,N10)</f>
        <v>0.12501002381348</v>
      </c>
      <c r="N10" s="69" t="n">
        <f aca="false">C21</f>
        <v>0.134020047626959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customFormat="false" ht="15" hidden="false" customHeight="true" outlineLevel="0" collapsed="false">
      <c r="A11" s="2"/>
      <c r="B11" s="61"/>
      <c r="C11" s="70"/>
      <c r="D11" s="70"/>
      <c r="E11" s="70"/>
      <c r="F11" s="70"/>
      <c r="G11" s="71" t="s">
        <v>44</v>
      </c>
      <c r="H11" s="2"/>
      <c r="I11" s="2"/>
      <c r="J11" s="72"/>
      <c r="K11" s="73" t="s">
        <v>45</v>
      </c>
      <c r="L11" s="73" t="s">
        <v>46</v>
      </c>
      <c r="M11" s="73" t="s">
        <v>47</v>
      </c>
      <c r="N11" s="74" t="s">
        <v>48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customFormat="false" ht="15" hidden="false" customHeight="true" outlineLevel="0" collapsed="false">
      <c r="A12" s="2"/>
      <c r="B12" s="56" t="s">
        <v>49</v>
      </c>
      <c r="C12" s="66" t="n">
        <f aca="false">C9/C6</f>
        <v>0.0324038461538462</v>
      </c>
      <c r="D12" s="66" t="n">
        <f aca="false">D9/D6</f>
        <v>0.0347321428571429</v>
      </c>
      <c r="E12" s="66" t="n">
        <f aca="false">E9/E6</f>
        <v>0.0405109489051095</v>
      </c>
      <c r="F12" s="66" t="n">
        <f aca="false">F9/F6</f>
        <v>0.0426678445229682</v>
      </c>
      <c r="G12" s="66" t="n">
        <f aca="false">G9/G6</f>
        <v>0.0417786636867909</v>
      </c>
      <c r="H12" s="54" t="n">
        <f aca="false">G12/G10*H10</f>
        <v>0.0421937813256603</v>
      </c>
      <c r="I12" s="54" t="e">
        <f aca="false">H12/H10*I10</f>
        <v>#VALUE!</v>
      </c>
      <c r="J12" s="75"/>
      <c r="K12" s="75" t="n">
        <v>0.067</v>
      </c>
      <c r="L12" s="16" t="n">
        <f aca="false">K12+1.1%</f>
        <v>0.078</v>
      </c>
      <c r="M12" s="76"/>
      <c r="N12" s="6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customFormat="false" ht="15" hidden="false" customHeight="true" outlineLevel="0" collapsed="false">
      <c r="A13" s="2"/>
      <c r="B13" s="61" t="s">
        <v>50</v>
      </c>
      <c r="C13" s="2"/>
      <c r="D13" s="2"/>
      <c r="E13" s="2"/>
      <c r="F13" s="2"/>
      <c r="G13" s="2"/>
      <c r="H13" s="2"/>
      <c r="I13" s="77"/>
      <c r="J13" s="77"/>
      <c r="K13" s="77"/>
      <c r="L13" s="77"/>
      <c r="M13" s="77"/>
      <c r="N13" s="7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customFormat="false" ht="12.75" hidden="false" customHeight="true" outlineLevel="0" collapsed="false">
      <c r="A14" s="2"/>
      <c r="B14" s="79" t="s">
        <v>51</v>
      </c>
      <c r="C14" s="2"/>
      <c r="D14" s="2"/>
      <c r="E14" s="2"/>
      <c r="F14" s="2"/>
      <c r="G14" s="2"/>
      <c r="H14" s="2"/>
      <c r="I14" s="77" t="e">
        <f aca="false">I10*I6</f>
        <v>#VALUE!</v>
      </c>
      <c r="J14" s="77"/>
      <c r="K14" s="77" t="n">
        <f aca="false">K10*K6</f>
        <v>144.680876204655</v>
      </c>
      <c r="L14" s="77" t="n">
        <f aca="false">L10*L6</f>
        <v>167.669978477021</v>
      </c>
      <c r="M14" s="77" t="n">
        <f aca="false">M10*M6</f>
        <v>189.547318744196</v>
      </c>
      <c r="N14" s="78" t="n">
        <f aca="false">N10*N6</f>
        <v>213.16606273923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customFormat="false" ht="12.75" hidden="false" customHeight="true" outlineLevel="0" collapsed="false">
      <c r="A15" s="2"/>
      <c r="B15" s="79" t="s">
        <v>52</v>
      </c>
      <c r="C15" s="80"/>
      <c r="D15" s="80"/>
      <c r="E15" s="80"/>
      <c r="F15" s="80"/>
      <c r="G15" s="80"/>
      <c r="H15" s="2"/>
      <c r="I15" s="2" t="e">
        <f aca="false">I6*I12</f>
        <v>#VALUE!</v>
      </c>
      <c r="J15" s="81"/>
      <c r="K15" s="2" t="n">
        <f aca="false">K6*K12</f>
        <v>92.3201781496369</v>
      </c>
      <c r="L15" s="81"/>
      <c r="M15" s="2"/>
      <c r="N15" s="59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customFormat="false" ht="12.75" hidden="false" customHeight="true" outlineLevel="0" collapsed="false">
      <c r="A16" s="2"/>
      <c r="B16" s="82" t="s">
        <v>53</v>
      </c>
      <c r="C16" s="83" t="n">
        <f aca="false">12100/6.5</f>
        <v>1861.53846153846</v>
      </c>
      <c r="D16" s="83" t="n">
        <f aca="false">13200/6.5</f>
        <v>2030.76923076923</v>
      </c>
      <c r="E16" s="83" t="n">
        <f aca="false">15200/6.5</f>
        <v>2338.46153846154</v>
      </c>
      <c r="F16" s="83" t="n">
        <f aca="false">16600/6.5</f>
        <v>2553.84615384615</v>
      </c>
      <c r="G16" s="84" t="n">
        <f aca="false">17250/6.5</f>
        <v>2653.84615384615</v>
      </c>
      <c r="H16" s="2" t="n">
        <f aca="false">G16*6.5</f>
        <v>17250</v>
      </c>
      <c r="I16" s="2"/>
      <c r="J16" s="81"/>
      <c r="K16" s="81"/>
      <c r="L16" s="81"/>
      <c r="M16" s="2"/>
      <c r="N16" s="59" t="e">
        <f aca="false">#REF!/SUM(#REF!)</f>
        <v>#REF!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customFormat="false" ht="12.75" hidden="false" customHeight="true" outlineLevel="0" collapsed="false">
      <c r="A17" s="2"/>
      <c r="B17" s="56" t="s">
        <v>54</v>
      </c>
      <c r="C17" s="80" t="n">
        <f aca="false">10700/6.5</f>
        <v>1646.15384615385</v>
      </c>
      <c r="D17" s="80" t="n">
        <f aca="false">12300/6.5</f>
        <v>1892.30769230769</v>
      </c>
      <c r="E17" s="80" t="n">
        <f aca="false">13500/6.5</f>
        <v>2076.92307692308</v>
      </c>
      <c r="F17" s="80" t="n">
        <f aca="false">14800/6.5</f>
        <v>2276.92307692308</v>
      </c>
      <c r="G17" s="85"/>
      <c r="I17" s="86"/>
      <c r="J17" s="86"/>
      <c r="L17" s="81"/>
      <c r="M17" s="2"/>
      <c r="N17" s="59" t="e">
        <f aca="false">N14*N16</f>
        <v>#REF!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customFormat="false" ht="15" hidden="false" customHeight="true" outlineLevel="0" collapsed="false">
      <c r="A18" s="2"/>
      <c r="B18" s="56" t="s">
        <v>55</v>
      </c>
      <c r="C18" s="87" t="n">
        <f aca="false">C17/C16</f>
        <v>0.884297520661157</v>
      </c>
      <c r="D18" s="87" t="n">
        <f aca="false">D17/D16</f>
        <v>0.931818181818182</v>
      </c>
      <c r="E18" s="87" t="n">
        <f aca="false">E17/E16</f>
        <v>0.888157894736842</v>
      </c>
      <c r="F18" s="87" t="n">
        <f aca="false">F17/F16</f>
        <v>0.891566265060241</v>
      </c>
      <c r="G18" s="87" t="n">
        <f aca="false">G17/G16</f>
        <v>0</v>
      </c>
      <c r="H18" s="2"/>
      <c r="I18" s="2"/>
      <c r="J18" s="81"/>
      <c r="K18" s="81"/>
      <c r="L18" s="81"/>
      <c r="M18" s="2"/>
      <c r="N18" s="88" t="n">
        <v>0.039</v>
      </c>
      <c r="O18" s="2"/>
      <c r="P18" s="2"/>
      <c r="Q18" s="2" t="s">
        <v>56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customFormat="false" ht="15" hidden="false" customHeight="true" outlineLevel="0" collapsed="false">
      <c r="A19" s="2"/>
      <c r="B19" s="56" t="s">
        <v>57</v>
      </c>
      <c r="C19" s="89" t="n">
        <v>13890</v>
      </c>
      <c r="D19" s="89" t="n">
        <v>14280</v>
      </c>
      <c r="E19" s="89" t="n">
        <v>14720</v>
      </c>
      <c r="F19" s="90" t="n">
        <f aca="false">114370/6.5</f>
        <v>17595.3846153846</v>
      </c>
      <c r="G19" s="85"/>
      <c r="H19" s="91"/>
      <c r="I19" s="2"/>
      <c r="J19" s="81"/>
      <c r="K19" s="81"/>
      <c r="L19" s="81"/>
      <c r="M19" s="2"/>
      <c r="N19" s="59" t="e">
        <f aca="false">N17*N18</f>
        <v>#REF!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customFormat="false" ht="12.75" hidden="false" customHeight="true" outlineLevel="0" collapsed="false">
      <c r="A20" s="2"/>
      <c r="B20" s="61" t="s">
        <v>58</v>
      </c>
      <c r="C20" s="90" t="n">
        <f aca="false">377783/6.5/10</f>
        <v>5812.04615384615</v>
      </c>
      <c r="D20" s="90" t="n">
        <f aca="false">408017/6.5/10</f>
        <v>6277.18461538462</v>
      </c>
      <c r="E20" s="90" t="n">
        <f aca="false">391980/6.5/10</f>
        <v>6030.46153846154</v>
      </c>
      <c r="F20" s="90" t="n">
        <f aca="false">440823/6.5/10</f>
        <v>6781.89230769231</v>
      </c>
      <c r="G20" s="90" t="n">
        <f aca="false">439377/6.8/10</f>
        <v>6461.42647058824</v>
      </c>
      <c r="H20" s="2" t="n">
        <f aca="false">471495/6.8/10</f>
        <v>6933.75</v>
      </c>
      <c r="I20" s="2"/>
      <c r="J20" s="81"/>
      <c r="K20" s="81"/>
      <c r="L20" s="81"/>
      <c r="M20" s="2"/>
      <c r="N20" s="9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customFormat="false" ht="15" hidden="false" customHeight="true" outlineLevel="0" collapsed="false">
      <c r="A21" s="2"/>
      <c r="B21" s="56" t="s">
        <v>59</v>
      </c>
      <c r="C21" s="93" t="n">
        <f aca="false">C16/C19</f>
        <v>0.134020047626959</v>
      </c>
      <c r="D21" s="93" t="n">
        <f aca="false">D16/D19</f>
        <v>0.142210730446025</v>
      </c>
      <c r="E21" s="93" t="n">
        <f aca="false">E16/E19</f>
        <v>0.158862876254181</v>
      </c>
      <c r="F21" s="93" t="n">
        <f aca="false">F16/F19</f>
        <v>0.145142957069161</v>
      </c>
      <c r="G21" s="85"/>
      <c r="H21" s="2"/>
      <c r="I21" s="2"/>
      <c r="J21" s="81"/>
      <c r="K21" s="81"/>
      <c r="L21" s="81"/>
      <c r="M21" s="2"/>
      <c r="N21" s="9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customFormat="false" ht="15" hidden="false" customHeight="true" outlineLevel="0" collapsed="false">
      <c r="A22" s="2"/>
      <c r="B22" s="94" t="s">
        <v>60</v>
      </c>
      <c r="C22" s="95" t="n">
        <f aca="false">C17/C19</f>
        <v>0.11851359583541</v>
      </c>
      <c r="D22" s="95" t="n">
        <f aca="false">D17/D19</f>
        <v>0.13251454427925</v>
      </c>
      <c r="E22" s="95" t="n">
        <f aca="false">E17/E19</f>
        <v>0.141095317725753</v>
      </c>
      <c r="F22" s="95" t="n">
        <f aca="false">F17/F19</f>
        <v>0.129404564133951</v>
      </c>
      <c r="G22" s="96"/>
      <c r="H22" s="97"/>
      <c r="I22" s="97"/>
      <c r="J22" s="98"/>
      <c r="K22" s="98"/>
      <c r="L22" s="98"/>
      <c r="M22" s="97"/>
      <c r="N22" s="99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customFormat="false" ht="15" hidden="false" customHeight="true" outlineLevel="0" collapsed="false">
      <c r="A23" s="2"/>
      <c r="B23" s="100" t="s">
        <v>61</v>
      </c>
      <c r="C23" s="95" t="n">
        <f aca="false">C17/C20</f>
        <v>0.283231378860351</v>
      </c>
      <c r="D23" s="95" t="n">
        <f aca="false">D17/D20</f>
        <v>0.301458027484149</v>
      </c>
      <c r="E23" s="95" t="n">
        <f aca="false">E17/E20</f>
        <v>0.344405326802388</v>
      </c>
      <c r="F23" s="95" t="n">
        <f aca="false">F17/F20</f>
        <v>0.335735658075917</v>
      </c>
      <c r="G23" s="2" t="n">
        <f aca="false">G17/G20</f>
        <v>0</v>
      </c>
      <c r="H23" s="2"/>
      <c r="I23" s="2"/>
      <c r="J23" s="5"/>
      <c r="K23" s="5"/>
      <c r="L23" s="5"/>
      <c r="M23" s="2"/>
      <c r="N23" s="101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customFormat="false" ht="12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5"/>
      <c r="K24" s="5"/>
      <c r="L24" s="5"/>
      <c r="M24" s="2"/>
      <c r="N24" s="101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customFormat="false" ht="12.75" hidden="false" customHeight="true" outlineLevel="0" collapsed="false">
      <c r="A25" s="2"/>
      <c r="B25" s="6" t="s">
        <v>62</v>
      </c>
      <c r="C25" s="2"/>
      <c r="D25" s="2"/>
      <c r="E25" s="2"/>
      <c r="F25" s="2"/>
      <c r="G25" s="2"/>
      <c r="H25" s="2"/>
      <c r="I25" s="2"/>
      <c r="J25" s="5"/>
      <c r="K25" s="5"/>
      <c r="L25" s="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customFormat="false" ht="15" hidden="false" customHeight="true" outlineLevel="0" collapsed="false">
      <c r="A26" s="2"/>
      <c r="B26" s="50" t="s">
        <v>63</v>
      </c>
      <c r="C26" s="102"/>
      <c r="D26" s="102"/>
      <c r="E26" s="102"/>
      <c r="F26" s="102"/>
      <c r="G26" s="102"/>
      <c r="H26" s="103"/>
      <c r="I26" s="103"/>
      <c r="J26" s="4"/>
      <c r="K26" s="4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12"/>
      <c r="AB26" s="2"/>
      <c r="AC26" s="2"/>
    </row>
    <row r="27" customFormat="false" ht="12.75" hidden="false" customHeight="true" outlineLevel="0" collapsed="false">
      <c r="A27" s="2"/>
      <c r="B27" s="8" t="s">
        <v>2</v>
      </c>
      <c r="C27" s="104" t="n">
        <v>2016</v>
      </c>
      <c r="D27" s="104" t="n">
        <v>2017</v>
      </c>
      <c r="E27" s="104" t="n">
        <v>2018</v>
      </c>
      <c r="F27" s="104" t="n">
        <v>2019</v>
      </c>
      <c r="G27" s="104" t="n">
        <v>2020</v>
      </c>
      <c r="H27" s="104" t="n">
        <v>2021</v>
      </c>
      <c r="I27" s="104" t="n">
        <v>2022</v>
      </c>
      <c r="J27" s="105" t="n">
        <v>2023</v>
      </c>
      <c r="K27" s="105" t="s">
        <v>34</v>
      </c>
      <c r="L27" s="52" t="s">
        <v>35</v>
      </c>
      <c r="M27" s="53" t="s">
        <v>36</v>
      </c>
      <c r="N27" s="52" t="s">
        <v>37</v>
      </c>
      <c r="O27" s="53" t="s">
        <v>38</v>
      </c>
      <c r="P27" s="105" t="s">
        <v>64</v>
      </c>
      <c r="Q27" s="52" t="s">
        <v>65</v>
      </c>
      <c r="R27" s="2"/>
      <c r="S27" s="2"/>
      <c r="T27" s="2"/>
      <c r="U27" s="106" t="s">
        <v>66</v>
      </c>
      <c r="V27" s="2"/>
      <c r="W27" s="12"/>
      <c r="X27" s="12"/>
      <c r="Y27" s="12"/>
      <c r="Z27" s="12"/>
      <c r="AA27" s="2"/>
      <c r="AB27" s="2"/>
    </row>
    <row r="28" customFormat="false" ht="12.75" hidden="false" customHeight="true" outlineLevel="0" collapsed="false">
      <c r="A28" s="2"/>
      <c r="B28" s="13" t="s">
        <v>19</v>
      </c>
      <c r="C28" s="17" t="n">
        <v>8.4</v>
      </c>
      <c r="D28" s="17" t="n">
        <v>8.9</v>
      </c>
      <c r="E28" s="17" t="n">
        <v>10</v>
      </c>
      <c r="F28" s="17" t="n">
        <v>10</v>
      </c>
      <c r="G28" s="17" t="n">
        <v>7.6</v>
      </c>
      <c r="H28" s="17" t="n">
        <v>7.1</v>
      </c>
      <c r="I28" s="107" t="n">
        <v>8.3</v>
      </c>
      <c r="J28" s="17" t="n">
        <f aca="false">131420/14000</f>
        <v>9.38714285714286</v>
      </c>
      <c r="K28" s="17" t="e">
        <f aca="false">'信贷市场测算-月度'!#ref!</f>
        <v>#VALUE!</v>
      </c>
      <c r="L28" s="17" t="e">
        <f aca="false">K28*(1+$U28)</f>
        <v>#VALUE!</v>
      </c>
      <c r="M28" s="17" t="e">
        <f aca="false">L28*(1+$U28)</f>
        <v>#VALUE!</v>
      </c>
      <c r="N28" s="17" t="e">
        <f aca="false">M28*(1+$U28)</f>
        <v>#VALUE!</v>
      </c>
      <c r="O28" s="17" t="e">
        <f aca="false">N28*(1+$U28)</f>
        <v>#VALUE!</v>
      </c>
      <c r="P28" s="17" t="e">
        <f aca="false">O28*(1+$U28)</f>
        <v>#VALUE!</v>
      </c>
      <c r="Q28" s="17" t="e">
        <f aca="false">P28*(1+$U28)</f>
        <v>#VALUE!</v>
      </c>
      <c r="R28" s="2"/>
      <c r="S28" s="2"/>
      <c r="T28" s="16" t="n">
        <f aca="false">(J28/G28)^(1/3)-1</f>
        <v>0.0729346683125032</v>
      </c>
      <c r="U28" s="108" t="n">
        <v>0.07</v>
      </c>
      <c r="V28" s="2"/>
      <c r="W28" s="12"/>
      <c r="X28" s="12"/>
      <c r="Y28" s="12"/>
      <c r="Z28" s="12"/>
      <c r="AA28" s="2"/>
      <c r="AB28" s="2"/>
    </row>
    <row r="29" customFormat="false" ht="12.75" hidden="false" customHeight="true" outlineLevel="0" collapsed="false">
      <c r="A29" s="2"/>
      <c r="B29" s="13" t="s">
        <v>20</v>
      </c>
      <c r="C29" s="17" t="n">
        <v>29.3</v>
      </c>
      <c r="D29" s="17" t="n">
        <v>33.4</v>
      </c>
      <c r="E29" s="17" t="n">
        <v>39</v>
      </c>
      <c r="F29" s="17" t="n">
        <v>42.6</v>
      </c>
      <c r="G29" s="17" t="n">
        <v>44.4</v>
      </c>
      <c r="H29" s="17" t="n">
        <v>45.9</v>
      </c>
      <c r="I29" s="107" t="n">
        <v>49.9</v>
      </c>
      <c r="J29" s="17" t="n">
        <f aca="false">699078/14000</f>
        <v>49.9341428571429</v>
      </c>
      <c r="K29" s="17" t="e">
        <f aca="false">'信贷市场测算-月度'!#ref!</f>
        <v>#VALUE!</v>
      </c>
      <c r="L29" s="17" t="e">
        <f aca="false">K29*(1+$U29)</f>
        <v>#VALUE!</v>
      </c>
      <c r="M29" s="17" t="e">
        <f aca="false">L29*(1+$U29)</f>
        <v>#VALUE!</v>
      </c>
      <c r="N29" s="17" t="e">
        <f aca="false">M29*(1+$U29)</f>
        <v>#VALUE!</v>
      </c>
      <c r="O29" s="17" t="e">
        <f aca="false">N29*(1+$U29)</f>
        <v>#VALUE!</v>
      </c>
      <c r="P29" s="17" t="e">
        <f aca="false">O29*(1+$U29)</f>
        <v>#VALUE!</v>
      </c>
      <c r="Q29" s="17" t="e">
        <f aca="false">P29*(1+$U29)</f>
        <v>#VALUE!</v>
      </c>
      <c r="R29" s="2"/>
      <c r="S29" s="2"/>
      <c r="T29" s="16" t="n">
        <f aca="false">(J29/G29)^(1/3)-1</f>
        <v>0.0399318425324826</v>
      </c>
      <c r="U29" s="108" t="n">
        <v>0.05</v>
      </c>
      <c r="V29" s="2"/>
      <c r="W29" s="12"/>
      <c r="X29" s="12"/>
      <c r="Y29" s="12"/>
      <c r="Z29" s="12"/>
      <c r="AA29" s="2"/>
      <c r="AB29" s="2"/>
    </row>
    <row r="30" customFormat="false" ht="12.75" hidden="false" customHeight="true" outlineLevel="0" collapsed="false">
      <c r="A30" s="2"/>
      <c r="B30" s="13" t="s">
        <v>22</v>
      </c>
      <c r="C30" s="17" t="n">
        <v>3.9</v>
      </c>
      <c r="D30" s="17" t="n">
        <v>4.9</v>
      </c>
      <c r="E30" s="17" t="n">
        <v>4.4</v>
      </c>
      <c r="F30" s="17" t="n">
        <v>4</v>
      </c>
      <c r="G30" s="17" t="n">
        <v>3.7</v>
      </c>
      <c r="H30" s="17" t="n">
        <v>3.8</v>
      </c>
      <c r="I30" s="107" t="n">
        <v>5.3</v>
      </c>
      <c r="J30" s="17" t="n">
        <f aca="false">107533/14000</f>
        <v>7.68092857142857</v>
      </c>
      <c r="K30" s="17" t="e">
        <f aca="false">'信贷市场测算-月度'!#ref!</f>
        <v>#VALUE!</v>
      </c>
      <c r="L30" s="17" t="e">
        <f aca="false">K30*(1+$U30)</f>
        <v>#VALUE!</v>
      </c>
      <c r="M30" s="17" t="e">
        <f aca="false">L30*(1+$U30)</f>
        <v>#VALUE!</v>
      </c>
      <c r="N30" s="17" t="e">
        <f aca="false">M30*(1+$U30)</f>
        <v>#VALUE!</v>
      </c>
      <c r="O30" s="17" t="e">
        <f aca="false">N30*1.15</f>
        <v>#VALUE!</v>
      </c>
      <c r="P30" s="17" t="e">
        <f aca="false">O30*1.15</f>
        <v>#VALUE!</v>
      </c>
      <c r="Q30" s="17" t="e">
        <f aca="false">P30*1.15</f>
        <v>#VALUE!</v>
      </c>
      <c r="R30" s="2"/>
      <c r="S30" s="2"/>
      <c r="T30" s="16" t="n">
        <f aca="false">(J30/G30)^(1/3)-1</f>
        <v>0.27566703857134</v>
      </c>
      <c r="U30" s="108" t="n">
        <v>0.2</v>
      </c>
      <c r="V30" s="2"/>
      <c r="W30" s="12"/>
      <c r="X30" s="12"/>
      <c r="Y30" s="12"/>
      <c r="Z30" s="12"/>
      <c r="AA30" s="2"/>
      <c r="AB30" s="2"/>
    </row>
    <row r="31" customFormat="false" ht="12.75" hidden="false" customHeight="true" outlineLevel="0" collapsed="false">
      <c r="A31" s="2"/>
      <c r="B31" s="21" t="s">
        <v>23</v>
      </c>
      <c r="C31" s="24"/>
      <c r="D31" s="24"/>
      <c r="E31" s="24" t="n">
        <v>6.93</v>
      </c>
      <c r="F31" s="24" t="n">
        <v>7.58</v>
      </c>
      <c r="G31" s="24" t="n">
        <v>5.81</v>
      </c>
      <c r="H31" s="24" t="n">
        <v>5.9</v>
      </c>
      <c r="I31" s="24" t="n">
        <v>6.55</v>
      </c>
      <c r="J31" s="23" t="n">
        <v>6.9</v>
      </c>
      <c r="K31" s="23" t="e">
        <f aca="false">'信贷市场测算-月度'!#ref!</f>
        <v>#VALUE!</v>
      </c>
      <c r="L31" s="23" t="e">
        <f aca="false">K31*(1+$U31)</f>
        <v>#VALUE!</v>
      </c>
      <c r="M31" s="23" t="e">
        <f aca="false">L31*(1+$U31)</f>
        <v>#VALUE!</v>
      </c>
      <c r="N31" s="23" t="e">
        <f aca="false">M31*(1+$U31)</f>
        <v>#VALUE!</v>
      </c>
      <c r="O31" s="23" t="e">
        <f aca="false">N31*(1+$U31)</f>
        <v>#VALUE!</v>
      </c>
      <c r="P31" s="23" t="e">
        <f aca="false">O31*(1+$U31)</f>
        <v>#VALUE!</v>
      </c>
      <c r="Q31" s="23" t="e">
        <f aca="false">P31*(1+$U31)</f>
        <v>#VALUE!</v>
      </c>
      <c r="R31" s="2"/>
      <c r="S31" s="2"/>
      <c r="T31" s="16" t="n">
        <f aca="false">(J31/G31)^(1/3)-1</f>
        <v>0.0589878713006551</v>
      </c>
      <c r="U31" s="108" t="n">
        <v>0.07</v>
      </c>
      <c r="V31" s="2"/>
      <c r="W31" s="12"/>
      <c r="X31" s="12"/>
      <c r="Y31" s="12"/>
      <c r="Z31" s="12"/>
      <c r="AA31" s="2"/>
      <c r="AB31" s="2"/>
    </row>
    <row r="32" customFormat="false" ht="15" hidden="false" customHeight="true" outlineLevel="0" collapsed="false">
      <c r="A32" s="2"/>
      <c r="B32" s="21" t="s">
        <v>24</v>
      </c>
      <c r="C32" s="24" t="n">
        <v>16.5</v>
      </c>
      <c r="D32" s="24" t="n">
        <v>18.1</v>
      </c>
      <c r="E32" s="24" t="n">
        <v>13.42</v>
      </c>
      <c r="F32" s="24" t="n">
        <v>13.89</v>
      </c>
      <c r="G32" s="24" t="n">
        <v>12.12</v>
      </c>
      <c r="H32" s="24" t="n">
        <v>11.88</v>
      </c>
      <c r="I32" s="24" t="n">
        <v>13.39</v>
      </c>
      <c r="J32" s="23" t="n">
        <v>14.1</v>
      </c>
      <c r="K32" s="23" t="e">
        <f aca="false">'信贷市场测算-月度'!#ref!</f>
        <v>#VALUE!</v>
      </c>
      <c r="L32" s="23" t="n">
        <f aca="false">J32*(1+$U31)</f>
        <v>15.087</v>
      </c>
      <c r="M32" s="23" t="e">
        <f aca="false">K32*(1+$U31)</f>
        <v>#VALUE!</v>
      </c>
      <c r="N32" s="23" t="n">
        <f aca="false">L32*(1+$U31)</f>
        <v>16.14309</v>
      </c>
      <c r="O32" s="23" t="e">
        <f aca="false">M32*(1+$U31)</f>
        <v>#VALUE!</v>
      </c>
      <c r="P32" s="23" t="n">
        <f aca="false">N32*(1+$U31)</f>
        <v>17.2731063</v>
      </c>
      <c r="Q32" s="23" t="e">
        <f aca="false">O32*(1+$U31)</f>
        <v>#VALUE!</v>
      </c>
      <c r="R32" s="2"/>
      <c r="S32" s="2"/>
      <c r="T32" s="16"/>
      <c r="U32" s="108"/>
      <c r="V32" s="2"/>
      <c r="W32" s="12"/>
      <c r="X32" s="12"/>
      <c r="Y32" s="12"/>
      <c r="Z32" s="12"/>
      <c r="AA32" s="2"/>
      <c r="AB32" s="2"/>
    </row>
    <row r="33" customFormat="false" ht="15" hidden="false" customHeight="true" outlineLevel="0" collapsed="false">
      <c r="A33" s="2"/>
      <c r="B33" s="21" t="s">
        <v>25</v>
      </c>
      <c r="C33" s="24" t="n">
        <v>0.5</v>
      </c>
      <c r="D33" s="24" t="n">
        <v>0.6</v>
      </c>
      <c r="E33" s="24" t="n">
        <v>0.6</v>
      </c>
      <c r="F33" s="24" t="n">
        <v>0.8</v>
      </c>
      <c r="G33" s="24" t="n">
        <v>0.6</v>
      </c>
      <c r="H33" s="109" t="n">
        <v>0.8</v>
      </c>
      <c r="I33" s="24" t="n">
        <v>0.9</v>
      </c>
      <c r="J33" s="23" t="n">
        <v>1.1</v>
      </c>
      <c r="K33" s="110" t="n">
        <v>1.076</v>
      </c>
      <c r="L33" s="23" t="n">
        <f aca="false">K33*(1+$U33)</f>
        <v>1.2912</v>
      </c>
      <c r="M33" s="23" t="n">
        <f aca="false">L33*(1+$U33)</f>
        <v>1.54944</v>
      </c>
      <c r="N33" s="23" t="n">
        <f aca="false">M33*(1+$U33)</f>
        <v>1.859328</v>
      </c>
      <c r="O33" s="23" t="n">
        <f aca="false">N33*(1+$U33)</f>
        <v>2.2311936</v>
      </c>
      <c r="P33" s="23" t="n">
        <f aca="false">O33*(1+$U33)</f>
        <v>2.67743232</v>
      </c>
      <c r="Q33" s="23" t="n">
        <f aca="false">P33*(1+$U33)</f>
        <v>3.212918784</v>
      </c>
      <c r="R33" s="2"/>
      <c r="S33" s="2"/>
      <c r="T33" s="16" t="n">
        <f aca="false">(J33/G33)^(1/3)-1</f>
        <v>0.22390341034166</v>
      </c>
      <c r="U33" s="108" t="n">
        <v>0.2</v>
      </c>
      <c r="V33" s="2"/>
      <c r="W33" s="12"/>
      <c r="X33" s="12"/>
      <c r="Y33" s="12"/>
      <c r="Z33" s="12"/>
      <c r="AA33" s="2"/>
      <c r="AB33" s="2"/>
    </row>
    <row r="34" customFormat="false" ht="12.75" hidden="false" customHeight="true" outlineLevel="0" collapsed="false">
      <c r="A34" s="2"/>
      <c r="B34" s="30" t="s">
        <v>27</v>
      </c>
      <c r="C34" s="32"/>
      <c r="D34" s="32"/>
      <c r="E34" s="33" t="n">
        <v>0.4</v>
      </c>
      <c r="F34" s="34" t="n">
        <v>0.9</v>
      </c>
      <c r="G34" s="34" t="n">
        <v>1.1</v>
      </c>
      <c r="H34" s="34" t="n">
        <v>2.1</v>
      </c>
      <c r="I34" s="111" t="n">
        <v>3.7</v>
      </c>
      <c r="J34" s="31" t="n">
        <f aca="false">59644.48/14000</f>
        <v>4.26032</v>
      </c>
      <c r="K34" s="112" t="e">
        <f aca="false">'信贷市场测算-月度'!#ref!</f>
        <v>#VALUE!</v>
      </c>
      <c r="L34" s="112" t="e">
        <f aca="false">K34*1.2</f>
        <v>#VALUE!</v>
      </c>
      <c r="M34" s="112" t="e">
        <f aca="false">L34*1.2</f>
        <v>#VALUE!</v>
      </c>
      <c r="N34" s="113" t="e">
        <f aca="false">M34*1.2</f>
        <v>#VALUE!</v>
      </c>
      <c r="O34" s="113" t="e">
        <f aca="false">N34*1.15</f>
        <v>#VALUE!</v>
      </c>
      <c r="P34" s="113" t="e">
        <f aca="false">O34*1.15</f>
        <v>#VALUE!</v>
      </c>
      <c r="Q34" s="113" t="e">
        <f aca="false">P34*1.15</f>
        <v>#VALUE!</v>
      </c>
      <c r="R34" s="2"/>
      <c r="S34" s="2"/>
      <c r="T34" s="16" t="n">
        <f aca="false">(J34/G34)^(1/3)-1</f>
        <v>0.570422510843599</v>
      </c>
      <c r="U34" s="114" t="n">
        <v>0.15</v>
      </c>
      <c r="V34" s="2"/>
      <c r="W34" s="12"/>
      <c r="X34" s="12"/>
      <c r="Y34" s="12"/>
      <c r="Z34" s="12"/>
      <c r="AA34" s="2"/>
      <c r="AB34" s="2"/>
    </row>
    <row r="35" customFormat="false" ht="12.75" hidden="false" customHeight="true" outlineLevel="0" collapsed="false">
      <c r="A35" s="2"/>
      <c r="B35" s="79"/>
      <c r="C35" s="115"/>
      <c r="D35" s="115"/>
      <c r="E35" s="115" t="n">
        <f aca="false">E34*14/15</f>
        <v>0.373333333333333</v>
      </c>
      <c r="F35" s="115" t="n">
        <f aca="false">F34*14/15</f>
        <v>0.84</v>
      </c>
      <c r="G35" s="115" t="n">
        <f aca="false">G34*14/15</f>
        <v>1.02666666666667</v>
      </c>
      <c r="H35" s="115" t="n">
        <f aca="false">H34*14/15</f>
        <v>1.96</v>
      </c>
      <c r="I35" s="115" t="n">
        <f aca="false">I34*14/15</f>
        <v>3.45333333333333</v>
      </c>
      <c r="J35" s="115" t="n">
        <f aca="false">J34*14/15</f>
        <v>3.97629866666667</v>
      </c>
      <c r="K35" s="115" t="e">
        <f aca="false">K34*14/15</f>
        <v>#VALUE!</v>
      </c>
      <c r="L35" s="115" t="e">
        <f aca="false">L34*14/15</f>
        <v>#VALUE!</v>
      </c>
      <c r="M35" s="115" t="e">
        <f aca="false">M34*14/15</f>
        <v>#VALUE!</v>
      </c>
      <c r="N35" s="115" t="e">
        <f aca="false">N34*14/15</f>
        <v>#VALUE!</v>
      </c>
      <c r="O35" s="115" t="e">
        <f aca="false">O34*14/15</f>
        <v>#VALUE!</v>
      </c>
      <c r="P35" s="115" t="e">
        <f aca="false">P34*14/15</f>
        <v>#VALUE!</v>
      </c>
      <c r="Q35" s="115" t="e">
        <f aca="false">Q34*14/15</f>
        <v>#VALUE!</v>
      </c>
      <c r="R35" s="2"/>
      <c r="S35" s="2"/>
      <c r="T35" s="16"/>
      <c r="U35" s="2"/>
      <c r="V35" s="2"/>
      <c r="W35" s="12"/>
      <c r="X35" s="12"/>
      <c r="Y35" s="12"/>
      <c r="Z35" s="12"/>
      <c r="AA35" s="2"/>
      <c r="AB35" s="2"/>
    </row>
    <row r="36" customFormat="false" ht="12.75" hidden="false" customHeight="true" outlineLevel="0" collapsed="false">
      <c r="A36" s="2"/>
      <c r="B36" s="36" t="s">
        <v>28</v>
      </c>
      <c r="C36" s="116" t="n">
        <f aca="false">SUM(C28:C34)</f>
        <v>58.6</v>
      </c>
      <c r="D36" s="116" t="n">
        <f aca="false">SUM(D28:D34)</f>
        <v>65.9</v>
      </c>
      <c r="E36" s="116" t="n">
        <f aca="false">SUM(E28:E34)</f>
        <v>74.75</v>
      </c>
      <c r="F36" s="116" t="n">
        <f aca="false">SUM(F28:F34)</f>
        <v>79.77</v>
      </c>
      <c r="G36" s="116" t="n">
        <f aca="false">SUM(G28:G34)</f>
        <v>75.33</v>
      </c>
      <c r="H36" s="116" t="n">
        <f aca="false">SUM(H28:H34)</f>
        <v>77.48</v>
      </c>
      <c r="I36" s="116" t="n">
        <f aca="false">SUM(I28:I34)</f>
        <v>88.04</v>
      </c>
      <c r="J36" s="37" t="n">
        <f aca="false">SUM(J28:J34)</f>
        <v>93.3625342857143</v>
      </c>
      <c r="K36" s="116" t="e">
        <f aca="false">SUM(K28:K34)</f>
        <v>#VALUE!</v>
      </c>
      <c r="L36" s="116" t="e">
        <f aca="false">SUM(L28:L34)</f>
        <v>#VALUE!</v>
      </c>
      <c r="M36" s="116" t="e">
        <f aca="false">SUM(M28:M34)</f>
        <v>#VALUE!</v>
      </c>
      <c r="N36" s="116" t="e">
        <f aca="false">SUM(N28:N34)</f>
        <v>#VALUE!</v>
      </c>
      <c r="O36" s="116" t="e">
        <f aca="false">SUM(O28:O34)</f>
        <v>#VALUE!</v>
      </c>
      <c r="P36" s="117" t="e">
        <f aca="false">SUM(P28:P34)</f>
        <v>#VALUE!</v>
      </c>
      <c r="Q36" s="117" t="e">
        <f aca="false">SUM(Q28:Q34)</f>
        <v>#VALUE!</v>
      </c>
      <c r="R36" s="2"/>
      <c r="S36" s="2"/>
      <c r="T36" s="16" t="n">
        <f aca="false">(J36/G36)^(1/3)-1</f>
        <v>0.0741581340892934</v>
      </c>
      <c r="U36" s="2"/>
      <c r="V36" s="2"/>
      <c r="W36" s="12"/>
      <c r="X36" s="12"/>
      <c r="Y36" s="12"/>
      <c r="Z36" s="12"/>
      <c r="AA36" s="2"/>
      <c r="AB36" s="2"/>
    </row>
    <row r="37" customFormat="false" ht="12.75" hidden="false" customHeight="true" outlineLevel="0" collapsed="false">
      <c r="A37" s="2"/>
      <c r="B37" s="39" t="s">
        <v>29</v>
      </c>
      <c r="C37" s="118"/>
      <c r="D37" s="119"/>
      <c r="E37" s="40" t="n">
        <f aca="false">SUM(E29,E30,E33,E34)</f>
        <v>44.4</v>
      </c>
      <c r="F37" s="40" t="n">
        <f aca="false">SUM(F29,F30,F33,F34)</f>
        <v>48.3</v>
      </c>
      <c r="G37" s="40" t="n">
        <f aca="false">SUM(G29,G30,G33,G34)</f>
        <v>49.8</v>
      </c>
      <c r="H37" s="40" t="n">
        <f aca="false">SUM(H29,H30,H33,H34)</f>
        <v>52.6</v>
      </c>
      <c r="I37" s="40" t="n">
        <f aca="false">SUM(I29,I30,I33,I34)</f>
        <v>59.8</v>
      </c>
      <c r="J37" s="40" t="n">
        <v>64.2918919629923</v>
      </c>
      <c r="K37" s="40" t="e">
        <f aca="false">SUM(K29,K30,K33,K34)</f>
        <v>#VALUE!</v>
      </c>
      <c r="L37" s="40" t="e">
        <f aca="false">SUM(L29,L30,L33,L34)</f>
        <v>#VALUE!</v>
      </c>
      <c r="M37" s="120" t="e">
        <f aca="false">SUM(M29,M30,M33,M34)</f>
        <v>#VALUE!</v>
      </c>
      <c r="N37" s="40" t="e">
        <f aca="false">SUM(N29,N30,N33,N34)</f>
        <v>#VALUE!</v>
      </c>
      <c r="O37" s="120" t="e">
        <f aca="false">SUM(O29,O30,O33,O34)</f>
        <v>#VALUE!</v>
      </c>
      <c r="P37" s="120" t="e">
        <f aca="false">SUM(P29,P30,P33,P34)</f>
        <v>#VALUE!</v>
      </c>
      <c r="Q37" s="120" t="e">
        <f aca="false">SUM(Q29,Q30,Q33,Q34)</f>
        <v>#VALUE!</v>
      </c>
      <c r="R37" s="2"/>
      <c r="S37" s="2"/>
      <c r="T37" s="2"/>
      <c r="U37" s="2"/>
      <c r="V37" s="2"/>
      <c r="W37" s="12"/>
      <c r="X37" s="12"/>
      <c r="Y37" s="12"/>
      <c r="Z37" s="12"/>
      <c r="AA37" s="2"/>
      <c r="AB37" s="2"/>
    </row>
    <row r="38" customFormat="false" ht="12.75" hidden="false" customHeight="true" outlineLevel="0" collapsed="false">
      <c r="A38" s="2"/>
      <c r="B38" s="36" t="s">
        <v>30</v>
      </c>
      <c r="C38" s="118"/>
      <c r="D38" s="119"/>
      <c r="E38" s="40" t="n">
        <f aca="false">E33+E34</f>
        <v>1</v>
      </c>
      <c r="F38" s="40" t="n">
        <f aca="false">F33+F34</f>
        <v>1.7</v>
      </c>
      <c r="G38" s="40" t="n">
        <f aca="false">G33+G34</f>
        <v>1.7</v>
      </c>
      <c r="H38" s="40" t="n">
        <f aca="false">H33+H34</f>
        <v>2.9</v>
      </c>
      <c r="I38" s="40" t="n">
        <f aca="false">I33+I34</f>
        <v>4.6</v>
      </c>
      <c r="J38" s="40" t="n">
        <v>6.04764638575664</v>
      </c>
      <c r="K38" s="118" t="e">
        <f aca="false">K33+K34</f>
        <v>#VALUE!</v>
      </c>
      <c r="L38" s="40" t="e">
        <f aca="false">L33+L34</f>
        <v>#VALUE!</v>
      </c>
      <c r="M38" s="40" t="e">
        <f aca="false">M33+M34</f>
        <v>#VALUE!</v>
      </c>
      <c r="N38" s="40" t="e">
        <f aca="false">N33+N34</f>
        <v>#VALUE!</v>
      </c>
      <c r="O38" s="40" t="e">
        <f aca="false">O33+O34</f>
        <v>#VALUE!</v>
      </c>
      <c r="P38" s="40" t="e">
        <f aca="false">P33+P34</f>
        <v>#VALUE!</v>
      </c>
      <c r="Q38" s="40" t="e">
        <f aca="false">Q33+Q34</f>
        <v>#VALUE!</v>
      </c>
      <c r="R38" s="2"/>
      <c r="S38" s="2"/>
      <c r="T38" s="44"/>
      <c r="U38" s="2"/>
      <c r="V38" s="2"/>
      <c r="W38" s="12"/>
      <c r="X38" s="12"/>
      <c r="Y38" s="12"/>
      <c r="Z38" s="12"/>
      <c r="AA38" s="2"/>
      <c r="AB38" s="2"/>
    </row>
    <row r="39" customFormat="false" ht="15" hidden="false" customHeight="true" outlineLevel="0" collapsed="false">
      <c r="A39" s="2"/>
      <c r="B39" s="36" t="s">
        <v>67</v>
      </c>
      <c r="C39" s="36"/>
      <c r="D39" s="36"/>
      <c r="E39" s="36" t="n">
        <f aca="false">E31+E33</f>
        <v>7.53</v>
      </c>
      <c r="F39" s="40" t="n">
        <f aca="false">F31+F33</f>
        <v>8.38</v>
      </c>
      <c r="G39" s="40" t="n">
        <f aca="false">G31+G33</f>
        <v>6.41</v>
      </c>
      <c r="H39" s="40" t="n">
        <f aca="false">H31+H33</f>
        <v>6.7</v>
      </c>
      <c r="I39" s="40" t="n">
        <f aca="false">I31+I33</f>
        <v>7.45</v>
      </c>
      <c r="J39" s="40" t="n">
        <f aca="false">J31+J33</f>
        <v>8</v>
      </c>
      <c r="K39" s="40" t="e">
        <f aca="false">K31+K33</f>
        <v>#VALUE!</v>
      </c>
      <c r="L39" s="40" t="e">
        <f aca="false">L31+L33</f>
        <v>#VALUE!</v>
      </c>
      <c r="M39" s="40" t="e">
        <f aca="false">M31+M33</f>
        <v>#VALUE!</v>
      </c>
      <c r="N39" s="40" t="e">
        <f aca="false">N31+N33</f>
        <v>#VALUE!</v>
      </c>
      <c r="O39" s="40" t="e">
        <f aca="false">O31+O33</f>
        <v>#VALUE!</v>
      </c>
      <c r="P39" s="2"/>
      <c r="Q39" s="121" t="e">
        <f aca="false">(O39/G39)^(1/COUNT(G39:O39))-1</f>
        <v>#VALUE!</v>
      </c>
      <c r="R39" s="2"/>
      <c r="S39" s="2"/>
      <c r="T39" s="2"/>
      <c r="U39" s="2"/>
      <c r="V39" s="2"/>
      <c r="W39" s="2"/>
      <c r="X39" s="2"/>
      <c r="Y39" s="12"/>
      <c r="Z39" s="12"/>
      <c r="AA39" s="12"/>
      <c r="AB39" s="12"/>
      <c r="AC39" s="2"/>
      <c r="AD39" s="2"/>
    </row>
    <row r="40" customFormat="false" ht="12.75" hidden="false" customHeight="true" outlineLevel="0" collapsed="false">
      <c r="A40" s="2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6"/>
      <c r="M40" s="122"/>
      <c r="N40" s="49"/>
      <c r="O40" s="49"/>
      <c r="P40" s="2"/>
      <c r="Q40" s="2"/>
      <c r="R40" s="2"/>
      <c r="S40" s="2"/>
      <c r="T40" s="2"/>
      <c r="U40" s="2"/>
      <c r="V40" s="2"/>
      <c r="W40" s="2"/>
      <c r="X40" s="2"/>
      <c r="Y40" s="12"/>
      <c r="Z40" s="12"/>
      <c r="AA40" s="12"/>
      <c r="AB40" s="12"/>
      <c r="AC40" s="2"/>
      <c r="AD40" s="2"/>
    </row>
    <row r="41" customFormat="false" ht="12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5"/>
      <c r="K41" s="5"/>
      <c r="L41" s="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customFormat="false" ht="12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5"/>
      <c r="K42" s="5"/>
      <c r="L42" s="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customFormat="false" ht="12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5"/>
      <c r="K43" s="5"/>
      <c r="L43" s="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customFormat="false" ht="12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5"/>
      <c r="K44" s="5"/>
      <c r="L44" s="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customFormat="false" ht="12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5"/>
      <c r="K45" s="5"/>
      <c r="L45" s="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customFormat="false" ht="12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5"/>
      <c r="K46" s="5"/>
      <c r="L46" s="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customFormat="false" ht="12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5"/>
      <c r="K47" s="5"/>
      <c r="L47" s="5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customFormat="false" ht="12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5"/>
      <c r="K48" s="5"/>
      <c r="L48" s="5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customFormat="false" ht="12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5"/>
      <c r="K49" s="5"/>
      <c r="L49" s="5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customFormat="false" ht="12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5"/>
      <c r="K50" s="5"/>
      <c r="L50" s="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customFormat="false" ht="12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5"/>
      <c r="K51" s="5"/>
      <c r="L51" s="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customFormat="false" ht="12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5"/>
      <c r="K52" s="5"/>
      <c r="L52" s="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customFormat="false" ht="12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5"/>
      <c r="K53" s="5"/>
      <c r="L53" s="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customFormat="false" ht="12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5"/>
      <c r="K54" s="5"/>
      <c r="L54" s="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customFormat="false" ht="12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5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customFormat="false" ht="12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5"/>
      <c r="K56" s="5"/>
      <c r="L56" s="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customFormat="false" ht="12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5"/>
      <c r="K57" s="5"/>
      <c r="L57" s="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customFormat="false" ht="12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5"/>
      <c r="K58" s="5"/>
      <c r="L58" s="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customFormat="false" ht="12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5"/>
      <c r="K59" s="5"/>
      <c r="L59" s="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customFormat="false" ht="12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5"/>
      <c r="K60" s="5"/>
      <c r="L60" s="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customFormat="false" ht="12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5"/>
      <c r="K61" s="5"/>
      <c r="L61" s="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customFormat="false" ht="12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5"/>
      <c r="K62" s="5"/>
      <c r="L62" s="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customFormat="false" ht="12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5"/>
      <c r="K63" s="5"/>
      <c r="L63" s="5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customFormat="false" ht="12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5"/>
      <c r="K64" s="5"/>
      <c r="L64" s="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customFormat="false" ht="12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5"/>
      <c r="K65" s="5"/>
      <c r="L65" s="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customFormat="false" ht="12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5"/>
      <c r="K66" s="5"/>
      <c r="L66" s="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customFormat="false" ht="12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5"/>
      <c r="K67" s="5"/>
      <c r="L67" s="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customFormat="false" ht="12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5"/>
      <c r="K68" s="5"/>
      <c r="L68" s="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customFormat="false" ht="12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5"/>
      <c r="K69" s="5"/>
      <c r="L69" s="5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customFormat="false" ht="12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5"/>
      <c r="K70" s="5"/>
      <c r="L70" s="5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customFormat="false" ht="12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5"/>
      <c r="K71" s="5"/>
      <c r="L71" s="5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customFormat="false" ht="12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5"/>
      <c r="K72" s="5"/>
      <c r="L72" s="5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customFormat="false" ht="12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5"/>
      <c r="K73" s="5"/>
      <c r="L73" s="5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customFormat="false" ht="12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5"/>
      <c r="K74" s="5"/>
      <c r="L74" s="5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customFormat="false" ht="12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5"/>
      <c r="K75" s="5"/>
      <c r="L75" s="5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customFormat="false" ht="12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5"/>
      <c r="K76" s="5"/>
      <c r="L76" s="5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customFormat="false" ht="12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5"/>
      <c r="K77" s="5"/>
      <c r="L77" s="5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customFormat="false" ht="12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5"/>
      <c r="K78" s="5"/>
      <c r="L78" s="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customFormat="false" ht="12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5"/>
      <c r="K79" s="5"/>
      <c r="L79" s="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customFormat="false" ht="12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5"/>
      <c r="K80" s="5"/>
      <c r="L80" s="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customFormat="false" ht="12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5"/>
      <c r="K81" s="5"/>
      <c r="L81" s="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customFormat="false" ht="12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5"/>
      <c r="K82" s="5"/>
      <c r="L82" s="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customFormat="false" ht="12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5"/>
      <c r="K83" s="5"/>
      <c r="L83" s="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customFormat="false" ht="12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5"/>
      <c r="K84" s="5"/>
      <c r="L84" s="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customFormat="false" ht="12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5"/>
      <c r="K85" s="5"/>
      <c r="L85" s="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customFormat="false" ht="12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5"/>
      <c r="K86" s="5"/>
      <c r="L86" s="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customFormat="false" ht="12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5"/>
      <c r="K87" s="5"/>
      <c r="L87" s="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customFormat="false" ht="12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5"/>
      <c r="K88" s="5"/>
      <c r="L88" s="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customFormat="false" ht="12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5"/>
      <c r="K89" s="5"/>
      <c r="L89" s="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customFormat="false" ht="12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5"/>
      <c r="K90" s="5"/>
      <c r="L90" s="5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customFormat="false" ht="12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5"/>
      <c r="K91" s="5"/>
      <c r="L91" s="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customFormat="false" ht="12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5"/>
      <c r="K92" s="5"/>
      <c r="L92" s="5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customFormat="false" ht="12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5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customFormat="false" ht="12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5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customFormat="false" ht="12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5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customFormat="false" ht="12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5"/>
      <c r="K96" s="5"/>
      <c r="L96" s="5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customFormat="false" ht="12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5"/>
      <c r="K97" s="5"/>
      <c r="L97" s="5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customFormat="false" ht="12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5"/>
      <c r="K98" s="5"/>
      <c r="L98" s="5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customFormat="false" ht="12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5"/>
      <c r="K99" s="5"/>
      <c r="L99" s="5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customFormat="false" ht="12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5"/>
      <c r="L100" s="5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customFormat="false" ht="12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5"/>
      <c r="L101" s="5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customFormat="false" ht="12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5"/>
      <c r="L102" s="5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customFormat="false" ht="12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5"/>
      <c r="L103" s="5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customFormat="false" ht="12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5"/>
      <c r="L104" s="5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customFormat="false" ht="12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5"/>
      <c r="L105" s="5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customFormat="false" ht="12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5"/>
      <c r="L106" s="5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customFormat="false" ht="12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5"/>
      <c r="L107" s="5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customFormat="false" ht="12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5"/>
      <c r="L108" s="5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customFormat="false" ht="12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5"/>
      <c r="L109" s="5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customFormat="false" ht="12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5"/>
      <c r="L110" s="5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customFormat="false" ht="12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5"/>
      <c r="K111" s="5"/>
      <c r="L111" s="5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customFormat="false" ht="12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5"/>
      <c r="K112" s="5"/>
      <c r="L112" s="5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customFormat="false" ht="12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5"/>
      <c r="K113" s="5"/>
      <c r="L113" s="5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customFormat="false" ht="12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5"/>
      <c r="K114" s="5"/>
      <c r="L114" s="5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customFormat="false" ht="12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5"/>
      <c r="K115" s="5"/>
      <c r="L115" s="5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customFormat="false" ht="12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5"/>
      <c r="K116" s="5"/>
      <c r="L116" s="5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customFormat="false" ht="12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5"/>
      <c r="K117" s="5"/>
      <c r="L117" s="5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customFormat="false" ht="12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5"/>
      <c r="K118" s="5"/>
      <c r="L118" s="5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customFormat="false" ht="12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5"/>
      <c r="K119" s="5"/>
      <c r="L119" s="5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customFormat="false" ht="12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5"/>
      <c r="K120" s="5"/>
      <c r="L120" s="5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customFormat="false" ht="12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5"/>
      <c r="K121" s="5"/>
      <c r="L121" s="5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customFormat="false" ht="12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5"/>
      <c r="K122" s="5"/>
      <c r="L122" s="5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customFormat="false" ht="12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5"/>
      <c r="K123" s="5"/>
      <c r="L123" s="5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customFormat="false" ht="12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5"/>
      <c r="K124" s="5"/>
      <c r="L124" s="5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customFormat="false" ht="12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5"/>
      <c r="K125" s="5"/>
      <c r="L125" s="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customFormat="false" ht="12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5"/>
      <c r="K126" s="5"/>
      <c r="L126" s="5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customFormat="false" ht="12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5"/>
      <c r="K127" s="5"/>
      <c r="L127" s="5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customFormat="false" ht="12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5"/>
      <c r="K128" s="5"/>
      <c r="L128" s="5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customFormat="false" ht="12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5"/>
      <c r="K129" s="5"/>
      <c r="L129" s="5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customFormat="false" ht="12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5"/>
      <c r="K130" s="5"/>
      <c r="L130" s="5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customFormat="false" ht="12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5"/>
      <c r="K131" s="5"/>
      <c r="L131" s="5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customFormat="false" ht="12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5"/>
      <c r="K132" s="5"/>
      <c r="L132" s="5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customFormat="false" ht="12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5"/>
      <c r="K133" s="5"/>
      <c r="L133" s="5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customFormat="false" ht="12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5"/>
      <c r="K134" s="5"/>
      <c r="L134" s="5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customFormat="false" ht="12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5"/>
      <c r="K135" s="5"/>
      <c r="L135" s="5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customFormat="false" ht="12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5"/>
      <c r="K136" s="5"/>
      <c r="L136" s="5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customFormat="false" ht="12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5"/>
      <c r="K137" s="5"/>
      <c r="L137" s="5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customFormat="false" ht="12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5"/>
      <c r="K138" s="5"/>
      <c r="L138" s="5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customFormat="false" ht="12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5"/>
      <c r="K139" s="5"/>
      <c r="L139" s="5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customFormat="false" ht="12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5"/>
      <c r="K140" s="5"/>
      <c r="L140" s="5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customFormat="false" ht="12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5"/>
      <c r="K141" s="5"/>
      <c r="L141" s="5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customFormat="false" ht="12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5"/>
      <c r="K142" s="5"/>
      <c r="L142" s="5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customFormat="false" ht="12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5"/>
      <c r="K143" s="5"/>
      <c r="L143" s="5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customFormat="false" ht="12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5"/>
      <c r="L144" s="5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customFormat="false" ht="12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5"/>
      <c r="K145" s="5"/>
      <c r="L145" s="5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customFormat="false" ht="12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5"/>
      <c r="K146" s="5"/>
      <c r="L146" s="5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customFormat="false" ht="12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5"/>
      <c r="K147" s="5"/>
      <c r="L147" s="5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customFormat="false" ht="12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5"/>
      <c r="K148" s="5"/>
      <c r="L148" s="5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customFormat="false" ht="12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5"/>
      <c r="K149" s="5"/>
      <c r="L149" s="5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customFormat="false" ht="12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5"/>
      <c r="K150" s="5"/>
      <c r="L150" s="5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customFormat="false" ht="12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5"/>
      <c r="K151" s="5"/>
      <c r="L151" s="5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customFormat="false" ht="12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5"/>
      <c r="K152" s="5"/>
      <c r="L152" s="5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customFormat="false" ht="12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5"/>
      <c r="K153" s="5"/>
      <c r="L153" s="5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customFormat="false" ht="12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5"/>
      <c r="K154" s="5"/>
      <c r="L154" s="5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customFormat="false" ht="12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5"/>
      <c r="K155" s="5"/>
      <c r="L155" s="5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customFormat="false" ht="12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5"/>
      <c r="K156" s="5"/>
      <c r="L156" s="5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customFormat="false" ht="12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5"/>
      <c r="K157" s="5"/>
      <c r="L157" s="5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customFormat="false" ht="12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5"/>
      <c r="K158" s="5"/>
      <c r="L158" s="5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customFormat="false" ht="12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5"/>
      <c r="K159" s="5"/>
      <c r="L159" s="5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customFormat="false" ht="12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5"/>
      <c r="K160" s="5"/>
      <c r="L160" s="5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customFormat="false" ht="12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5"/>
      <c r="K161" s="5"/>
      <c r="L161" s="5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customFormat="false" ht="12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5"/>
      <c r="K162" s="5"/>
      <c r="L162" s="5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customFormat="false" ht="12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5"/>
      <c r="K163" s="5"/>
      <c r="L163" s="5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customFormat="false" ht="12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5"/>
      <c r="K164" s="5"/>
      <c r="L164" s="5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customFormat="false" ht="12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5"/>
      <c r="K165" s="5"/>
      <c r="L165" s="5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customFormat="false" ht="12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5"/>
      <c r="K166" s="5"/>
      <c r="L166" s="5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customFormat="false" ht="12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5"/>
      <c r="K167" s="5"/>
      <c r="L167" s="5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customFormat="false" ht="12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5"/>
      <c r="K168" s="5"/>
      <c r="L168" s="5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customFormat="false" ht="12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5"/>
      <c r="K169" s="5"/>
      <c r="L169" s="5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customFormat="false" ht="12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5"/>
      <c r="K170" s="5"/>
      <c r="L170" s="5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customFormat="false" ht="12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5"/>
      <c r="K171" s="5"/>
      <c r="L171" s="5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customFormat="false" ht="12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5"/>
      <c r="K172" s="5"/>
      <c r="L172" s="5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customFormat="false" ht="12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5"/>
      <c r="K173" s="5"/>
      <c r="L173" s="5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customFormat="false" ht="12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5"/>
      <c r="K174" s="5"/>
      <c r="L174" s="5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customFormat="false" ht="12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5"/>
      <c r="K175" s="5"/>
      <c r="L175" s="5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customFormat="false" ht="12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5"/>
      <c r="K176" s="5"/>
      <c r="L176" s="5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customFormat="false" ht="12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5"/>
      <c r="K177" s="5"/>
      <c r="L177" s="5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customFormat="false" ht="12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5"/>
      <c r="K178" s="5"/>
      <c r="L178" s="5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customFormat="false" ht="12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5"/>
      <c r="K179" s="5"/>
      <c r="L179" s="5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customFormat="false" ht="12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5"/>
      <c r="K180" s="5"/>
      <c r="L180" s="5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customFormat="false" ht="12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5"/>
      <c r="K181" s="5"/>
      <c r="L181" s="5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customFormat="false" ht="12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5"/>
      <c r="K182" s="5"/>
      <c r="L182" s="5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customFormat="false" ht="12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5"/>
      <c r="K183" s="5"/>
      <c r="L183" s="5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customFormat="false" ht="12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5"/>
      <c r="K184" s="5"/>
      <c r="L184" s="5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customFormat="false" ht="12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5"/>
      <c r="K185" s="5"/>
      <c r="L185" s="5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customFormat="false" ht="12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5"/>
      <c r="K186" s="5"/>
      <c r="L186" s="5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customFormat="false" ht="12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5"/>
      <c r="K187" s="5"/>
      <c r="L187" s="5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customFormat="false" ht="12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5"/>
      <c r="K188" s="5"/>
      <c r="L188" s="5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customFormat="false" ht="12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5"/>
      <c r="K189" s="5"/>
      <c r="L189" s="5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2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9375" defaultRowHeight="12.75" zeroHeight="false" outlineLevelRow="0" outlineLevelCol="0"/>
  <cols>
    <col collapsed="false" customWidth="true" hidden="false" outlineLevel="0" max="1" min="1" style="1" width="35.36"/>
    <col collapsed="false" customWidth="true" hidden="false" outlineLevel="0" max="2" min="2" style="1" width="58.63"/>
  </cols>
  <sheetData>
    <row r="2" customFormat="false" ht="12.75" hidden="false" customHeight="true" outlineLevel="0" collapsed="false">
      <c r="A2" s="123" t="s">
        <v>68</v>
      </c>
      <c r="B2" s="123"/>
    </row>
    <row r="3" customFormat="false" ht="12.75" hidden="false" customHeight="true" outlineLevel="0" collapsed="false">
      <c r="A3" s="13" t="s">
        <v>19</v>
      </c>
      <c r="B3" s="124" t="s">
        <v>69</v>
      </c>
    </row>
    <row r="4" customFormat="false" ht="12.75" hidden="false" customHeight="true" outlineLevel="0" collapsed="false">
      <c r="A4" s="13" t="s">
        <v>20</v>
      </c>
      <c r="B4" s="124"/>
    </row>
    <row r="5" customFormat="false" ht="12.75" hidden="false" customHeight="true" outlineLevel="0" collapsed="false">
      <c r="A5" s="13" t="s">
        <v>22</v>
      </c>
      <c r="B5" s="124"/>
    </row>
    <row r="6" customFormat="false" ht="12.75" hidden="false" customHeight="true" outlineLevel="0" collapsed="false">
      <c r="A6" s="21" t="s">
        <v>23</v>
      </c>
      <c r="B6" s="125" t="s">
        <v>70</v>
      </c>
    </row>
    <row r="7" customFormat="false" ht="15" hidden="false" customHeight="true" outlineLevel="0" collapsed="false">
      <c r="A7" s="21" t="s">
        <v>24</v>
      </c>
      <c r="B7" s="125"/>
    </row>
    <row r="8" customFormat="false" ht="60.75" hidden="false" customHeight="true" outlineLevel="0" collapsed="false">
      <c r="A8" s="21" t="s">
        <v>71</v>
      </c>
      <c r="B8" s="125"/>
    </row>
    <row r="9" customFormat="false" ht="40.5" hidden="false" customHeight="true" outlineLevel="0" collapsed="false">
      <c r="A9" s="30" t="s">
        <v>27</v>
      </c>
      <c r="B9" s="126" t="s">
        <v>72</v>
      </c>
    </row>
    <row r="12" customFormat="false" ht="78" hidden="false" customHeight="true" outlineLevel="0" collapsed="false">
      <c r="A12" s="20" t="s">
        <v>73</v>
      </c>
      <c r="B12" s="127" t="s">
        <v>74</v>
      </c>
    </row>
  </sheetData>
  <mergeCells count="3">
    <mergeCell ref="A2:B2"/>
    <mergeCell ref="B3:B5"/>
    <mergeCell ref="B6:B8"/>
  </mergeCells>
  <hyperlinks>
    <hyperlink ref="B3" r:id="rId1" display="数据源：BI每月的SSKI Report&#10;https://www.bi.go.id/id/statistik/ekonomi-keuangan/sski/default.aspx&#10;&#10;sheet 17"/>
    <hyperlink ref="B9" r:id="rId2" display="数据源：OJK每月的Fintech Lending统计&#10;https://www.ojk.go.id/id/kanal/iknb/data-dan-statistik/fintech/Default.aspx&#10;sheet9"/>
    <hyperlink ref="B12" r:id="rId3" display="OJK官网-发布-新闻稿：找到每月的理事会议i结果，https://www.ojk.go.id/id/berita-dan-kegiatan/siaran-pers/Default.aspx&#10;&#10;*usually the news with screenshot of &quot;zoom&quot; meeting setting/title monthly board meeting - title &quot;hasil rapat dewan komisioner bulanan&quot; --&gt; search BNP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2026-05-08T16:37:08Z</dcterms:created>
  <dc:creator>张伯楠-Rafael</dc:creator>
  <dc:description/>
  <dc:language>en-US</dc:language>
  <cp:lastModifiedBy>张伯楠-Rafael</cp:lastModifiedBy>
  <dcterms:modified xsi:type="dcterms:W3CDTF">2026-05-25T03:39:01Z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