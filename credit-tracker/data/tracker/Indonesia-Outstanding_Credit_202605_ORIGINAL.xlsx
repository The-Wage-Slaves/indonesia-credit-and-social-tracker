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0 工作文档\02 交付件\100 印尼\03 Routine\00 宏观数据\"/>
    </mc:Choice>
  </mc:AlternateContent>
  <xr:revisionPtr revIDLastSave="0" documentId="8_{11B48E59-0626-475E-A106-A60269B1B4C4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信贷市场测算-月度" sheetId="2" r:id="rId1"/>
    <sheet name="信贷市场测算-年度" sheetId="3" state="hidden" r:id="rId2"/>
    <sheet name="底稿source link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2" l="1"/>
  <c r="D5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AD5" i="2"/>
  <c r="C7" i="2"/>
  <c r="D7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AD7" i="2"/>
  <c r="P9" i="2"/>
  <c r="Q9" i="2"/>
  <c r="R9" i="2"/>
  <c r="S9" i="2"/>
  <c r="T9" i="2"/>
  <c r="U9" i="2"/>
  <c r="W9" i="2"/>
  <c r="V9" i="2" s="1"/>
  <c r="X9" i="2"/>
  <c r="Y9" i="2"/>
  <c r="Z9" i="2"/>
  <c r="AA9" i="2"/>
  <c r="AB9" i="2"/>
  <c r="AC9" i="2"/>
  <c r="AD9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Y13" i="2"/>
  <c r="Z13" i="2"/>
  <c r="AA13" i="2"/>
  <c r="AB13" i="2"/>
  <c r="AC13" i="2"/>
  <c r="AD13" i="2"/>
  <c r="C15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C17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V18" i="2"/>
  <c r="V19" i="2" s="1"/>
  <c r="M19" i="2"/>
  <c r="O19" i="2"/>
  <c r="P19" i="2"/>
  <c r="Q19" i="2"/>
  <c r="R19" i="2"/>
  <c r="S19" i="2"/>
  <c r="T19" i="2"/>
  <c r="U19" i="2"/>
  <c r="W19" i="2"/>
  <c r="X19" i="2"/>
  <c r="Y19" i="2"/>
  <c r="Z19" i="2"/>
  <c r="AA19" i="2"/>
  <c r="AB19" i="2"/>
  <c r="AC19" i="2"/>
  <c r="AD19" i="2"/>
  <c r="C21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X21" i="2"/>
  <c r="Y21" i="2"/>
  <c r="Z21" i="2"/>
  <c r="AA21" i="2"/>
  <c r="AB21" i="2"/>
  <c r="AC21" i="2"/>
  <c r="AD21" i="2"/>
  <c r="J39" i="3"/>
  <c r="I39" i="3"/>
  <c r="H39" i="3"/>
  <c r="G39" i="3"/>
  <c r="F39" i="3"/>
  <c r="E39" i="3"/>
  <c r="I38" i="3"/>
  <c r="H38" i="3"/>
  <c r="G38" i="3"/>
  <c r="F38" i="3"/>
  <c r="E38" i="3"/>
  <c r="I37" i="3"/>
  <c r="H37" i="3"/>
  <c r="G37" i="3"/>
  <c r="F37" i="3"/>
  <c r="E37" i="3"/>
  <c r="I36" i="3"/>
  <c r="H36" i="3"/>
  <c r="G36" i="3"/>
  <c r="F36" i="3"/>
  <c r="E36" i="3"/>
  <c r="D36" i="3"/>
  <c r="C36" i="3"/>
  <c r="I35" i="3"/>
  <c r="H35" i="3"/>
  <c r="G35" i="3"/>
  <c r="F35" i="3"/>
  <c r="E35" i="3"/>
  <c r="J34" i="3"/>
  <c r="J35" i="3" s="1"/>
  <c r="T33" i="3"/>
  <c r="L33" i="3"/>
  <c r="M33" i="3" s="1"/>
  <c r="N33" i="3" s="1"/>
  <c r="L32" i="3"/>
  <c r="N32" i="3" s="1"/>
  <c r="P32" i="3" s="1"/>
  <c r="T31" i="3"/>
  <c r="J30" i="3"/>
  <c r="T30" i="3" s="1"/>
  <c r="J29" i="3"/>
  <c r="T29" i="3" s="1"/>
  <c r="J28" i="3"/>
  <c r="T28" i="3" s="1"/>
  <c r="H20" i="3"/>
  <c r="G20" i="3"/>
  <c r="G23" i="3" s="1"/>
  <c r="F20" i="3"/>
  <c r="F23" i="3" s="1"/>
  <c r="E20" i="3"/>
  <c r="D20" i="3"/>
  <c r="C20" i="3"/>
  <c r="F19" i="3"/>
  <c r="F17" i="3"/>
  <c r="F22" i="3" s="1"/>
  <c r="E17" i="3"/>
  <c r="D17" i="3"/>
  <c r="C17" i="3"/>
  <c r="C23" i="3" s="1"/>
  <c r="N16" i="3"/>
  <c r="G16" i="3"/>
  <c r="H16" i="3" s="1"/>
  <c r="F16" i="3"/>
  <c r="E16" i="3"/>
  <c r="E21" i="3" s="1"/>
  <c r="D16" i="3"/>
  <c r="D21" i="3" s="1"/>
  <c r="C16" i="3"/>
  <c r="C21" i="3" s="1"/>
  <c r="N10" i="3" s="1"/>
  <c r="M10" i="3" s="1"/>
  <c r="L12" i="3"/>
  <c r="G10" i="3"/>
  <c r="F10" i="3"/>
  <c r="E10" i="3"/>
  <c r="D10" i="3"/>
  <c r="C10" i="3"/>
  <c r="I9" i="3"/>
  <c r="H9" i="3"/>
  <c r="G9" i="3"/>
  <c r="F9" i="3"/>
  <c r="F12" i="3" s="1"/>
  <c r="E9" i="3"/>
  <c r="E12" i="3" s="1"/>
  <c r="D9" i="3"/>
  <c r="D12" i="3" s="1"/>
  <c r="C9" i="3"/>
  <c r="C12" i="3" s="1"/>
  <c r="G6" i="3"/>
  <c r="H24" i="2" l="1"/>
  <c r="V24" i="2"/>
  <c r="I23" i="2"/>
  <c r="V22" i="2"/>
  <c r="H23" i="2"/>
  <c r="F23" i="2"/>
  <c r="J24" i="2"/>
  <c r="I24" i="2"/>
  <c r="W23" i="2"/>
  <c r="AA22" i="2"/>
  <c r="G23" i="2"/>
  <c r="AB24" i="2"/>
  <c r="T22" i="2"/>
  <c r="G24" i="2"/>
  <c r="W24" i="2"/>
  <c r="M24" i="2"/>
  <c r="F24" i="2"/>
  <c r="T23" i="2"/>
  <c r="X24" i="2"/>
  <c r="N24" i="2"/>
  <c r="AA24" i="2"/>
  <c r="E24" i="2"/>
  <c r="G12" i="3"/>
  <c r="T34" i="3"/>
  <c r="C18" i="3"/>
  <c r="F21" i="3"/>
  <c r="M22" i="2"/>
  <c r="K22" i="2"/>
  <c r="Y22" i="2"/>
  <c r="J22" i="2"/>
  <c r="X22" i="2"/>
  <c r="I22" i="2"/>
  <c r="U24" i="2"/>
  <c r="H22" i="2"/>
  <c r="Z24" i="2"/>
  <c r="L24" i="2"/>
  <c r="O24" i="2"/>
  <c r="T24" i="2"/>
  <c r="AC24" i="2"/>
  <c r="F22" i="2"/>
  <c r="D24" i="2"/>
  <c r="U23" i="2"/>
  <c r="C24" i="2"/>
  <c r="W22" i="2"/>
  <c r="G22" i="2"/>
  <c r="L22" i="2"/>
  <c r="K31" i="3"/>
  <c r="L31" i="3" s="1"/>
  <c r="U22" i="2"/>
  <c r="R24" i="2"/>
  <c r="K32" i="3"/>
  <c r="M32" i="3" s="1"/>
  <c r="O32" i="3" s="1"/>
  <c r="Q32" i="3" s="1"/>
  <c r="Q24" i="2"/>
  <c r="AD24" i="2"/>
  <c r="P24" i="2"/>
  <c r="AC23" i="2"/>
  <c r="O23" i="2"/>
  <c r="K28" i="3"/>
  <c r="L28" i="3" s="1"/>
  <c r="S22" i="2"/>
  <c r="E22" i="2"/>
  <c r="AB23" i="2"/>
  <c r="N23" i="2"/>
  <c r="R22" i="2"/>
  <c r="D22" i="2"/>
  <c r="S23" i="2"/>
  <c r="E23" i="2"/>
  <c r="AA23" i="2"/>
  <c r="M23" i="2"/>
  <c r="Q22" i="2"/>
  <c r="C22" i="2"/>
  <c r="R23" i="2"/>
  <c r="D23" i="2"/>
  <c r="Z23" i="2"/>
  <c r="L23" i="2"/>
  <c r="AD22" i="2"/>
  <c r="P22" i="2"/>
  <c r="Q23" i="2"/>
  <c r="C23" i="2"/>
  <c r="Y23" i="2"/>
  <c r="K23" i="2"/>
  <c r="AC22" i="2"/>
  <c r="O22" i="2"/>
  <c r="Z22" i="2"/>
  <c r="S24" i="2"/>
  <c r="Y24" i="2"/>
  <c r="K24" i="2"/>
  <c r="AD23" i="2"/>
  <c r="P23" i="2"/>
  <c r="X23" i="2"/>
  <c r="J23" i="2"/>
  <c r="AB22" i="2"/>
  <c r="N22" i="2"/>
  <c r="V23" i="2"/>
  <c r="K30" i="3"/>
  <c r="L30" i="3" s="1"/>
  <c r="M30" i="3" s="1"/>
  <c r="N30" i="3" s="1"/>
  <c r="O30" i="3" s="1"/>
  <c r="P30" i="3" s="1"/>
  <c r="Q30" i="3" s="1"/>
  <c r="K29" i="3"/>
  <c r="O33" i="3"/>
  <c r="D18" i="3"/>
  <c r="D23" i="3"/>
  <c r="D22" i="3"/>
  <c r="E18" i="3"/>
  <c r="E23" i="3"/>
  <c r="E22" i="3"/>
  <c r="F18" i="3"/>
  <c r="C22" i="3"/>
  <c r="G18" i="3"/>
  <c r="H6" i="3"/>
  <c r="J36" i="3"/>
  <c r="K39" i="3" l="1"/>
  <c r="K34" i="3"/>
  <c r="K37" i="3" s="1"/>
  <c r="M28" i="3"/>
  <c r="T36" i="3"/>
  <c r="H8" i="3"/>
  <c r="H10" i="3" s="1"/>
  <c r="H12" i="3" s="1"/>
  <c r="L29" i="3"/>
  <c r="P33" i="3"/>
  <c r="I6" i="3"/>
  <c r="M31" i="3"/>
  <c r="L39" i="3"/>
  <c r="K36" i="3" l="1"/>
  <c r="I8" i="3" s="1"/>
  <c r="K38" i="3"/>
  <c r="L34" i="3"/>
  <c r="L36" i="3" s="1"/>
  <c r="K35" i="3"/>
  <c r="K6" i="3"/>
  <c r="L37" i="3"/>
  <c r="M29" i="3"/>
  <c r="Q33" i="3"/>
  <c r="N31" i="3"/>
  <c r="M39" i="3"/>
  <c r="N28" i="3"/>
  <c r="I10" i="3"/>
  <c r="I14" i="3" s="1"/>
  <c r="I12" i="3" l="1"/>
  <c r="I15" i="3" s="1"/>
  <c r="L38" i="3"/>
  <c r="L35" i="3"/>
  <c r="M34" i="3"/>
  <c r="O31" i="3"/>
  <c r="N39" i="3"/>
  <c r="M37" i="3"/>
  <c r="N29" i="3"/>
  <c r="K15" i="3"/>
  <c r="L6" i="3"/>
  <c r="K14" i="3"/>
  <c r="O28" i="3"/>
  <c r="M35" i="3" l="1"/>
  <c r="N34" i="3"/>
  <c r="M38" i="3"/>
  <c r="M36" i="3"/>
  <c r="O29" i="3"/>
  <c r="N37" i="3"/>
  <c r="N36" i="3"/>
  <c r="P28" i="3"/>
  <c r="M6" i="3"/>
  <c r="L14" i="3"/>
  <c r="P31" i="3"/>
  <c r="Q31" i="3" s="1"/>
  <c r="O39" i="3"/>
  <c r="Q39" i="3" s="1"/>
  <c r="N35" i="3" l="1"/>
  <c r="N38" i="3"/>
  <c r="O34" i="3"/>
  <c r="Q28" i="3"/>
  <c r="N6" i="3"/>
  <c r="M14" i="3"/>
  <c r="P29" i="3"/>
  <c r="O35" i="3" l="1"/>
  <c r="P34" i="3"/>
  <c r="O38" i="3"/>
  <c r="O36" i="3"/>
  <c r="O37" i="3"/>
  <c r="N14" i="3"/>
  <c r="N17" i="3" s="1"/>
  <c r="N19" i="3" s="1"/>
  <c r="Q29" i="3"/>
  <c r="P37" i="3"/>
  <c r="P36" i="3"/>
  <c r="P38" i="3" l="1"/>
  <c r="P35" i="3"/>
  <c r="Q34" i="3"/>
  <c r="Q36" i="3"/>
  <c r="Q38" i="3" l="1"/>
  <c r="Q35" i="3"/>
  <c r="Q3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tc={CA38EDAA-0F03-481F-9F2E-82E061BE2F45}</author>
    <author>tc={A7D6E512-DAC1-4A73-BA47-64A25ACE49C5}</author>
    <author>tc={1FDE88D3-1D45-4FA7-907A-53FF2A2701F7}</author>
  </authors>
  <commentList>
    <comment ref="AE4" authorId="0" shapeId="0" xr:uid="{00000000-0006-0000-0100-000002000000}">
      <text>
        <r>
          <rPr>
            <sz val="10"/>
            <color theme="1"/>
            <rFont val="等线"/>
            <family val="2"/>
            <charset val="134"/>
            <scheme val="minor"/>
          </rPr>
          <t>10/11月数据为forecasted values</t>
        </r>
      </text>
    </comment>
    <comment ref="AD12" authorId="1" shapeId="0" xr:uid="{00000000-0006-0000-0100-000003000000}">
      <text>
        <r>
          <rPr>
            <sz val="10"/>
            <color theme="1"/>
            <rFont val="等线"/>
            <family val="2"/>
            <charset val="134"/>
            <scheme val="minor"/>
          </rPr>
          <t>最新数据到8月2025</t>
        </r>
      </text>
    </comment>
    <comment ref="AD20" authorId="2" shapeId="0" xr:uid="{00000000-0006-0000-0100-000001000000}">
      <text>
        <r>
          <rPr>
            <sz val="10"/>
            <color theme="1"/>
            <rFont val="等线"/>
            <family val="2"/>
            <charset val="134"/>
            <scheme val="minor"/>
          </rPr>
          <t>数据更新至8月，最新数据还未更新 (14Jan2026)</t>
        </r>
      </text>
    </comment>
  </commentList>
</comments>
</file>

<file path=xl/sharedStrings.xml><?xml version="1.0" encoding="utf-8"?>
<sst xmlns="http://schemas.openxmlformats.org/spreadsheetml/2006/main" count="100" uniqueCount="76">
  <si>
    <t>Summary</t>
  </si>
  <si>
    <t>USD Bn</t>
  </si>
  <si>
    <t>印尼消费信贷余额（含车不含房）</t>
  </si>
  <si>
    <t>目标一：预测印尼26E消费信贷余额（含车不含房）</t>
  </si>
  <si>
    <t>方法一：以 loan to GDP 对标中国水平</t>
  </si>
  <si>
    <t>2024E</t>
  </si>
  <si>
    <t>2025E</t>
  </si>
  <si>
    <t>2026E</t>
  </si>
  <si>
    <t>2027E</t>
  </si>
  <si>
    <t>2028E</t>
  </si>
  <si>
    <t>可调假设</t>
  </si>
  <si>
    <t>印尼GDP</t>
  </si>
  <si>
    <t>2018-2022 world bank data, 2023-2025 wold bank forecast gdp growth 4.9%</t>
  </si>
  <si>
    <t>印尼社零</t>
  </si>
  <si>
    <t>印尼消费信贷余额（不含车不含房）</t>
  </si>
  <si>
    <t>印尼消费信贷，含车不含房余额/GDP</t>
  </si>
  <si>
    <t>约等于中国2015-2016水平6.7%-8.1%</t>
  </si>
  <si>
    <t>中国2016-2017水平</t>
  </si>
  <si>
    <t>中国2017水平</t>
  </si>
  <si>
    <t>中国2017-2018水平</t>
  </si>
  <si>
    <t>中国2018水平</t>
  </si>
  <si>
    <t>印尼消费信贷，不含车不含房余额/GDP</t>
  </si>
  <si>
    <t>印尼消费信贷，不含车不含房余额/社零</t>
  </si>
  <si>
    <t>印尼消费信贷余额预测（含车不含房）</t>
  </si>
  <si>
    <t>印尼消费信贷余额预测（不含车不含房）</t>
  </si>
  <si>
    <t>中国消费信贷余额（含车不含房）</t>
  </si>
  <si>
    <t>中国消费信贷余额（不含车不含房）</t>
  </si>
  <si>
    <t>不含车信贷余额/含车信贷余额</t>
  </si>
  <si>
    <t>360 22年市占率</t>
  </si>
  <si>
    <t>中国GDP</t>
  </si>
  <si>
    <t>中国社零</t>
  </si>
  <si>
    <t>中国消费信贷，含车余额/GDP</t>
  </si>
  <si>
    <t>中国消费信贷，不含车余额/GDP</t>
  </si>
  <si>
    <t>中国消费信贷，不含车余额/社零</t>
  </si>
  <si>
    <t>方法二：分模块预测余额</t>
  </si>
  <si>
    <t>2029E</t>
  </si>
  <si>
    <t>2030E</t>
  </si>
  <si>
    <t>Bank-outstanding: Vehicles</t>
  </si>
  <si>
    <t>Bank-outstanding: Multipurpose</t>
  </si>
  <si>
    <t>Bank-outstanding: Others</t>
  </si>
  <si>
    <t>MF-outstanding: Vehicles (2W)</t>
  </si>
  <si>
    <t>MF-outstanding: Vehicles (4W,1617含2W)</t>
  </si>
  <si>
    <t>MF-outstanding: Multipurpose不含车</t>
  </si>
  <si>
    <t>P2P-outstanding</t>
  </si>
  <si>
    <t>印尼狭义消金（非银机构，不含车不含房）</t>
  </si>
  <si>
    <t>印尼MF场景+二轮</t>
  </si>
  <si>
    <t>数据源记录</t>
  </si>
  <si>
    <t>MF-outstanding: Multipurpose，消费类</t>
  </si>
  <si>
    <t>MF/bank BNPL数据</t>
  </si>
  <si>
    <t>为保证可比性，汇率统一使用usd to idr =1：15000</t>
  </si>
  <si>
    <t>2023.10</t>
  </si>
  <si>
    <t>2024.10</t>
  </si>
  <si>
    <t>2024.11</t>
  </si>
  <si>
    <t>2024.12</t>
  </si>
  <si>
    <t xml:space="preserve">2025.1 </t>
  </si>
  <si>
    <t xml:space="preserve">2025.02 </t>
  </si>
  <si>
    <t xml:space="preserve">2025.03 </t>
  </si>
  <si>
    <t xml:space="preserve">2025.04 </t>
  </si>
  <si>
    <t xml:space="preserve">2025.05 </t>
  </si>
  <si>
    <t xml:space="preserve">2025.06 </t>
  </si>
  <si>
    <t xml:space="preserve">2025.07 </t>
  </si>
  <si>
    <t xml:space="preserve">2025.08 </t>
  </si>
  <si>
    <t xml:space="preserve">2025.09 </t>
  </si>
  <si>
    <t xml:space="preserve">2025.10 </t>
  </si>
  <si>
    <t xml:space="preserve">2025.11 </t>
  </si>
  <si>
    <t xml:space="preserve">2025.12 </t>
  </si>
  <si>
    <t>Bank-outstanding: BNPL</t>
  </si>
  <si>
    <t>MF-outstanding: BNPL</t>
  </si>
  <si>
    <r>
      <rPr>
        <b/>
        <sz val="10"/>
        <color rgb="FFFF0000"/>
        <rFont val="Arial"/>
        <family val="2"/>
      </rPr>
      <t>假设</t>
    </r>
    <r>
      <rPr>
        <b/>
        <sz val="10"/>
        <color rgb="FF000000"/>
        <rFont val="Arial"/>
        <family val="2"/>
      </rPr>
      <t>：22年印尼消费信贷（含车不含房）/GDP比值</t>
    </r>
    <r>
      <rPr>
        <b/>
        <sz val="10"/>
        <color rgb="FFFF0000"/>
        <rFont val="Arial"/>
        <family val="2"/>
      </rPr>
      <t>7.4%</t>
    </r>
    <r>
      <rPr>
        <b/>
        <sz val="10"/>
        <color rgb="FF000000"/>
        <rFont val="Arial"/>
        <family val="2"/>
      </rPr>
      <t>约等于中国2015-2016水平，假设2025-2026年印尼消费信贷（含车不含房）/GDP 与中国2017年持平，则</t>
    </r>
  </si>
  <si>
    <r>
      <rPr>
        <b/>
        <sz val="10"/>
        <color rgb="FFFF0000"/>
        <rFont val="Arial"/>
        <family val="2"/>
      </rPr>
      <t>假设</t>
    </r>
    <r>
      <rPr>
        <b/>
        <sz val="10"/>
        <color rgb="FF000000"/>
        <rFont val="Arial"/>
        <family val="2"/>
      </rPr>
      <t>：23-28年印尼金融机构Multipurpose loan余额增速保持18-22年水平，但不低于GDP增速；P2P余额增速23-26保持21-22年水平（与Bain forecast cross check），26-28 30%；其余消费信贷增速与GDP保持一致，则</t>
    </r>
  </si>
  <si>
    <r>
      <rPr>
        <sz val="10"/>
        <color rgb="FF000000"/>
        <rFont val="等线"/>
        <family val="3"/>
        <charset val="134"/>
        <scheme val="minor"/>
      </rPr>
      <t>假设增速</t>
    </r>
  </si>
  <si>
    <r>
      <rPr>
        <sz val="10"/>
        <color rgb="FF000000"/>
        <rFont val="Arial"/>
        <family val="2"/>
      </rPr>
      <t>印尼消费信贷余额（含车不含房）</t>
    </r>
  </si>
  <si>
    <r>
      <rPr>
        <u/>
        <sz val="10"/>
        <color rgb="FF267EF0"/>
        <rFont val="微软雅黑"/>
        <family val="2"/>
        <charset val="134"/>
      </rPr>
      <t>数据源：BI每月的SSKI Report</t>
    </r>
    <r>
      <rPr>
        <u/>
        <sz val="10"/>
        <color rgb="FF267EF0"/>
        <rFont val="微软雅黑"/>
        <family val="2"/>
        <charset val="134"/>
      </rPr>
      <t xml:space="preserve">
https://www.bi.go.id/id/statistik/ekonomi-keuangan/sski/default.aspx</t>
    </r>
    <r>
      <rPr>
        <sz val="10"/>
        <color rgb="FF267EF0"/>
        <rFont val="微软雅黑"/>
        <family val="2"/>
        <charset val="134"/>
      </rPr>
      <t xml:space="preserve">
sheet 17</t>
    </r>
  </si>
  <si>
    <r>
      <rPr>
        <u/>
        <sz val="10"/>
        <color rgb="FF267EF0"/>
        <rFont val="微软雅黑"/>
        <family val="2"/>
        <charset val="134"/>
      </rPr>
      <t>数据源：OJK每月的Fintech Lending统计</t>
    </r>
    <r>
      <rPr>
        <u/>
        <sz val="10"/>
        <color rgb="FF175CEB"/>
        <rFont val="微软雅黑"/>
        <family val="2"/>
        <charset val="134"/>
      </rPr>
      <t xml:space="preserve">
https://www.ojk.go.id/id/kanal/iknb/data-dan-statistik/fintech/Default.aspx</t>
    </r>
    <r>
      <rPr>
        <sz val="10"/>
        <color rgb="FF267EF0"/>
        <rFont val="微软雅黑"/>
        <family val="2"/>
        <charset val="134"/>
      </rPr>
      <t xml:space="preserve">
sheet9</t>
    </r>
  </si>
  <si>
    <r>
      <rPr>
        <u/>
        <sz val="10"/>
        <color rgb="FF000000"/>
        <rFont val="等线"/>
        <family val="3"/>
        <charset val="134"/>
      </rPr>
      <t>OJK官网-发布-新闻稿</t>
    </r>
    <r>
      <rPr>
        <u/>
        <sz val="10"/>
        <color rgb="FF000000"/>
        <rFont val="等线"/>
        <family val="3"/>
        <charset val="134"/>
      </rPr>
      <t>：找到每月的理事会议i结果，</t>
    </r>
    <r>
      <rPr>
        <u/>
        <sz val="10"/>
        <color rgb="FF175CEB"/>
        <rFont val="等线"/>
        <family val="3"/>
        <charset val="134"/>
      </rPr>
      <t>https://www.ojk.go.id/id/berita-dan-kegiatan/siaran-pers/Default.aspx</t>
    </r>
    <r>
      <rPr>
        <sz val="10"/>
        <color rgb="FF000000"/>
        <rFont val="等线"/>
        <family val="3"/>
        <charset val="134"/>
      </rPr>
      <t xml:space="preserve">
*usually</t>
    </r>
    <r>
      <rPr>
        <sz val="10"/>
        <color rgb="FF000000"/>
        <rFont val="等线"/>
        <family val="3"/>
        <charset val="134"/>
      </rPr>
      <t xml:space="preserve"> the</t>
    </r>
    <r>
      <rPr>
        <sz val="10"/>
        <color rgb="FF000000"/>
        <rFont val="等线"/>
        <family val="3"/>
        <charset val="134"/>
      </rPr>
      <t xml:space="preserve"> news</t>
    </r>
    <r>
      <rPr>
        <sz val="10"/>
        <color rgb="FF000000"/>
        <rFont val="等线"/>
        <family val="3"/>
        <charset val="134"/>
      </rPr>
      <t xml:space="preserve"> with</t>
    </r>
    <r>
      <rPr>
        <sz val="10"/>
        <color rgb="FF000000"/>
        <rFont val="等线"/>
        <family val="3"/>
        <charset val="134"/>
      </rPr>
      <t xml:space="preserve"> screenshot</t>
    </r>
    <r>
      <rPr>
        <sz val="10"/>
        <color rgb="FF000000"/>
        <rFont val="等线"/>
        <family val="3"/>
        <charset val="134"/>
      </rPr>
      <t xml:space="preserve"> of</t>
    </r>
    <r>
      <rPr>
        <sz val="10"/>
        <color rgb="FF000000"/>
        <rFont val="等线"/>
        <family val="3"/>
        <charset val="134"/>
      </rPr>
      <t xml:space="preserve"> "zoom"</t>
    </r>
    <r>
      <rPr>
        <sz val="10"/>
        <color rgb="FF000000"/>
        <rFont val="等线"/>
        <family val="3"/>
        <charset val="134"/>
      </rPr>
      <t xml:space="preserve"> meeting</t>
    </r>
    <r>
      <rPr>
        <sz val="10"/>
        <color rgb="FF000000"/>
        <rFont val="等线"/>
        <family val="3"/>
        <charset val="134"/>
      </rPr>
      <t xml:space="preserve"> setting/title</t>
    </r>
    <r>
      <rPr>
        <sz val="10"/>
        <color rgb="FF000000"/>
        <rFont val="等线"/>
        <family val="3"/>
        <charset val="134"/>
      </rPr>
      <t xml:space="preserve"> monthly</t>
    </r>
    <r>
      <rPr>
        <sz val="10"/>
        <color rgb="FF000000"/>
        <rFont val="等线"/>
        <family val="3"/>
        <charset val="134"/>
      </rPr>
      <t xml:space="preserve"> board</t>
    </r>
    <r>
      <rPr>
        <sz val="10"/>
        <color rgb="FF000000"/>
        <rFont val="等线"/>
        <family val="3"/>
        <charset val="134"/>
      </rPr>
      <t xml:space="preserve"> meeting</t>
    </r>
    <r>
      <rPr>
        <sz val="10"/>
        <color rgb="FF000000"/>
        <rFont val="等线"/>
        <family val="3"/>
        <charset val="134"/>
      </rPr>
      <t xml:space="preserve"> -</t>
    </r>
    <r>
      <rPr>
        <sz val="10"/>
        <color rgb="FF000000"/>
        <rFont val="等线"/>
        <family val="3"/>
        <charset val="134"/>
      </rPr>
      <t xml:space="preserve"> title</t>
    </r>
    <r>
      <rPr>
        <sz val="10"/>
        <color rgb="FF000000"/>
        <rFont val="等线"/>
        <family val="3"/>
        <charset val="134"/>
      </rPr>
      <t xml:space="preserve"> "hasil</t>
    </r>
    <r>
      <rPr>
        <sz val="10"/>
        <color rgb="FF000000"/>
        <rFont val="等线"/>
        <family val="3"/>
        <charset val="134"/>
      </rPr>
      <t xml:space="preserve"> rapat</t>
    </r>
    <r>
      <rPr>
        <sz val="10"/>
        <color rgb="FF000000"/>
        <rFont val="等线"/>
        <family val="3"/>
        <charset val="134"/>
      </rPr>
      <t xml:space="preserve"> dewan</t>
    </r>
    <r>
      <rPr>
        <sz val="10"/>
        <color rgb="FF000000"/>
        <rFont val="等线"/>
        <family val="3"/>
        <charset val="134"/>
      </rPr>
      <t xml:space="preserve"> komisioner</t>
    </r>
    <r>
      <rPr>
        <sz val="10"/>
        <color rgb="FF000000"/>
        <rFont val="等线"/>
        <family val="3"/>
        <charset val="134"/>
      </rPr>
      <t xml:space="preserve"> bulanan"</t>
    </r>
    <r>
      <rPr>
        <sz val="10"/>
        <color rgb="FF000000"/>
        <rFont val="等线"/>
        <family val="3"/>
        <charset val="134"/>
      </rPr>
      <t xml:space="preserve"> --&gt;</t>
    </r>
    <r>
      <rPr>
        <sz val="10"/>
        <color rgb="FF000000"/>
        <rFont val="等线"/>
        <family val="3"/>
        <charset val="134"/>
      </rPr>
      <t xml:space="preserve"> search</t>
    </r>
    <r>
      <rPr>
        <sz val="10"/>
        <color rgb="FF000000"/>
        <rFont val="等线"/>
        <family val="3"/>
        <charset val="134"/>
      </rPr>
      <t xml:space="preserve"> BNPL</t>
    </r>
  </si>
  <si>
    <t>数据源：
https://www.ojk.go.id/id/kanal/iknb/data-dan-statistik/lembaga-pembiayaan/Default.aspx
Vehicles(2W):PP9 34-35（更新34-41）;Vehicles(4W):PP9 36-37（更新：42-49）; Multipurpose: Sheet PP9 50~57行(更新：62-69)</t>
    <phoneticPr fontId="6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</si>
</sst>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 * #,##0_ ;_ * \-#,##0_ ;_ * &quot;-&quot;_ ;_ @_ "/>
    <numFmt numFmtId="176" formatCode="#,##0.0_ "/>
    <numFmt numFmtId="177" formatCode="_ * #,##0.0_ ;_ * \-#,##0.0_ "/>
    <numFmt numFmtId="178" formatCode="0.0%"/>
    <numFmt numFmtId="179" formatCode="0.0_ "/>
    <numFmt numFmtId="180" formatCode="#,##0.00_ "/>
    <numFmt numFmtId="181" formatCode="0.0"/>
    <numFmt numFmtId="182" formatCode="#,##0\ "/>
    <numFmt numFmtId="183" formatCode="_(* #,##0_);_(* \(#,##0\);_(* &quot;-&quot;_);_(@_)"/>
  </numFmts>
  <fonts count="70">
    <font>
      <sz val="10"/>
      <color theme="1"/>
      <name val="等线"/>
      <family val="2"/>
      <charset val="134"/>
      <scheme val="minor"/>
    </font>
    <font>
      <sz val="10"/>
      <color rgb="FF000000"/>
      <name val="等线"/>
      <charset val="134"/>
    </font>
    <font>
      <b/>
      <sz val="10"/>
      <color rgb="FFFFFFFF"/>
      <name val="Arial"/>
    </font>
    <font>
      <b/>
      <sz val="10"/>
      <name val="Arial"/>
    </font>
    <font>
      <sz val="10"/>
      <color rgb="FF000000"/>
      <name val="等线"/>
      <charset val="134"/>
    </font>
    <font>
      <b/>
      <i/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u/>
      <sz val="10"/>
      <color rgb="FF267EF0"/>
      <name val="等线"/>
      <charset val="134"/>
    </font>
    <font>
      <sz val="10"/>
      <name val="Arial"/>
    </font>
    <font>
      <i/>
      <sz val="10"/>
      <color rgb="FF7F7F7F"/>
      <name val="等线"/>
      <charset val="134"/>
    </font>
    <font>
      <i/>
      <sz val="10"/>
      <color rgb="FF7F7F7F"/>
      <name val="等线"/>
      <charset val="134"/>
    </font>
    <font>
      <sz val="10"/>
      <name val="Arial"/>
    </font>
    <font>
      <sz val="10"/>
      <color rgb="FF000000"/>
      <name val="Arial"/>
    </font>
    <font>
      <sz val="10"/>
      <color rgb="FF000000"/>
      <name val="等线"/>
      <charset val="134"/>
    </font>
    <font>
      <b/>
      <sz val="10"/>
      <color rgb="FF000000"/>
      <name val="Arial"/>
    </font>
    <font>
      <i/>
      <sz val="10"/>
      <color rgb="FF7F7F7F"/>
      <name val="等线"/>
      <charset val="134"/>
    </font>
    <font>
      <b/>
      <sz val="10"/>
      <color rgb="FFFF0000"/>
      <name val="等线"/>
      <charset val="134"/>
    </font>
    <font>
      <sz val="10"/>
      <color rgb="FF000000"/>
      <name val="Arial"/>
    </font>
    <font>
      <b/>
      <sz val="10"/>
      <color rgb="FFFF0000"/>
      <name val="等线"/>
      <charset val="134"/>
    </font>
    <font>
      <b/>
      <sz val="10"/>
      <color rgb="FFFF0000"/>
      <name val="等线"/>
      <charset val="134"/>
    </font>
    <font>
      <b/>
      <i/>
      <sz val="10"/>
      <color rgb="FF9D9D9D"/>
      <name val="等线"/>
      <charset val="134"/>
    </font>
    <font>
      <sz val="10"/>
      <color rgb="FF000000"/>
      <name val="等线"/>
      <charset val="134"/>
    </font>
    <font>
      <b/>
      <sz val="10"/>
      <color rgb="FFFF0000"/>
      <name val="等线"/>
      <charset val="134"/>
    </font>
    <font>
      <i/>
      <sz val="10"/>
      <color rgb="FF000000"/>
      <name val="等线"/>
      <charset val="134"/>
    </font>
    <font>
      <i/>
      <sz val="10"/>
      <color rgb="FF000000"/>
      <name val="等线"/>
      <charset val="134"/>
    </font>
    <font>
      <b/>
      <sz val="10"/>
      <color rgb="FF000000"/>
      <name val="Arial"/>
    </font>
    <font>
      <b/>
      <sz val="10"/>
      <color rgb="FFFFFFFF"/>
      <name val="等线"/>
      <charset val="134"/>
    </font>
    <font>
      <b/>
      <i/>
      <sz val="10"/>
      <color rgb="FFFFFFFF"/>
      <name val="Arial"/>
    </font>
    <font>
      <b/>
      <sz val="10"/>
      <color rgb="FFFFFFFF"/>
      <name val="等线"/>
      <charset val="134"/>
    </font>
    <font>
      <b/>
      <sz val="10"/>
      <color rgb="FFFFFFFF"/>
      <name val="Arial"/>
    </font>
    <font>
      <sz val="10"/>
      <color rgb="FF000000"/>
      <name val="等线"/>
      <charset val="134"/>
    </font>
    <font>
      <i/>
      <sz val="10"/>
      <color rgb="FF000000"/>
      <name val="等线"/>
      <charset val="134"/>
    </font>
    <font>
      <i/>
      <sz val="10"/>
      <color rgb="FFFF0000"/>
      <name val="等线"/>
      <charset val="134"/>
    </font>
    <font>
      <i/>
      <sz val="10"/>
      <name val="等线"/>
      <charset val="134"/>
    </font>
    <font>
      <i/>
      <sz val="10"/>
      <color rgb="FFFF0000"/>
      <name val="等线"/>
      <charset val="134"/>
    </font>
    <font>
      <i/>
      <sz val="10"/>
      <color rgb="FFFF0000"/>
      <name val="等线"/>
      <charset val="134"/>
    </font>
    <font>
      <sz val="10"/>
      <name val="Arial"/>
    </font>
    <font>
      <sz val="10"/>
      <color rgb="FF000000"/>
      <name val="等线"/>
      <charset val="134"/>
    </font>
    <font>
      <b/>
      <sz val="10"/>
      <color rgb="FF000000"/>
      <name val="等线"/>
      <charset val="134"/>
    </font>
    <font>
      <b/>
      <sz val="10"/>
      <color rgb="FFFFFFFF"/>
      <name val="等线"/>
      <charset val="134"/>
    </font>
    <font>
      <b/>
      <i/>
      <sz val="10"/>
      <color rgb="FFFFFFFF"/>
      <name val="Arial"/>
    </font>
    <font>
      <u/>
      <sz val="10"/>
      <color rgb="FF267EF0"/>
      <name val="等线"/>
      <charset val="134"/>
    </font>
    <font>
      <sz val="10"/>
      <color rgb="FF267EF0"/>
      <name val="等线"/>
      <charset val="134"/>
    </font>
    <font>
      <sz val="10"/>
      <name val="等线"/>
      <charset val="134"/>
    </font>
    <font>
      <i/>
      <sz val="10"/>
      <name val="等线"/>
      <charset val="134"/>
    </font>
    <font>
      <b/>
      <i/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等线"/>
      <charset val="134"/>
    </font>
    <font>
      <b/>
      <sz val="10"/>
      <color rgb="FF000000"/>
      <name val="Arial"/>
    </font>
    <font>
      <b/>
      <i/>
      <sz val="10"/>
      <color rgb="FFFFFFFF"/>
      <name val="Arial"/>
    </font>
    <font>
      <sz val="11"/>
      <name val="Frutiger 45 Light"/>
    </font>
    <font>
      <sz val="10"/>
      <name val="等线"/>
      <family val="3"/>
      <charset val="134"/>
    </font>
    <font>
      <sz val="11"/>
      <name val="等线"/>
      <family val="3"/>
      <charset val="134"/>
    </font>
    <font>
      <b/>
      <sz val="10"/>
      <name val="Arial"/>
      <family val="2"/>
    </font>
    <font>
      <b/>
      <sz val="10"/>
      <color rgb="FF000000"/>
      <name val="等线"/>
      <family val="3"/>
      <charset val="134"/>
    </font>
    <font>
      <b/>
      <sz val="10"/>
      <color rgb="FFFF0000"/>
      <name val="Arial"/>
      <family val="2"/>
    </font>
    <font>
      <u/>
      <sz val="10"/>
      <color rgb="FF267EF0"/>
      <name val="微软雅黑"/>
      <family val="2"/>
      <charset val="134"/>
    </font>
    <font>
      <b/>
      <sz val="10"/>
      <color rgb="FF000000"/>
      <name val="Arial"/>
      <family val="2"/>
    </font>
    <font>
      <sz val="10"/>
      <color rgb="FF000000"/>
      <name val="等线"/>
      <family val="3"/>
      <charset val="134"/>
      <scheme val="minor"/>
    </font>
    <font>
      <sz val="10"/>
      <color rgb="FF000000"/>
      <name val="Arial"/>
      <family val="2"/>
    </font>
    <font>
      <sz val="10"/>
      <color rgb="FF267EF0"/>
      <name val="微软雅黑"/>
      <family val="2"/>
      <charset val="134"/>
    </font>
    <font>
      <u/>
      <sz val="10"/>
      <color rgb="FF175CEB"/>
      <name val="微软雅黑"/>
      <family val="2"/>
      <charset val="134"/>
    </font>
    <font>
      <u/>
      <sz val="10"/>
      <color rgb="FF000000"/>
      <name val="等线"/>
      <family val="3"/>
      <charset val="134"/>
    </font>
    <font>
      <u/>
      <sz val="10"/>
      <color rgb="FF175CEB"/>
      <name val="等线"/>
      <family val="3"/>
      <charset val="134"/>
    </font>
    <font>
      <sz val="10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i/>
      <sz val="10"/>
      <color rgb="FF000000"/>
      <name val="等线"/>
      <family val="3"/>
      <charset val="134"/>
    </font>
  </fonts>
  <fills count="15">
    <fill>
      <patternFill patternType="none"/>
    </fill>
    <fill>
      <patternFill patternType="gray125"/>
    </fill>
    <fill>
      <patternFill patternType="solid">
        <fgColor rgb="FFC00000"/>
        <bgColor auto="1"/>
      </patternFill>
    </fill>
    <fill>
      <patternFill patternType="none"/>
    </fill>
    <fill>
      <patternFill patternType="solid">
        <fgColor rgb="FFFFFF00"/>
        <bgColor auto="1"/>
      </patternFill>
    </fill>
    <fill>
      <patternFill patternType="solid">
        <fgColor rgb="FFCC0000"/>
        <bgColor auto="1"/>
      </patternFill>
    </fill>
    <fill>
      <patternFill patternType="solid">
        <fgColor rgb="FFE9E9E9"/>
        <bgColor auto="1"/>
      </patternFill>
    </fill>
    <fill>
      <patternFill patternType="solid">
        <fgColor rgb="FFDFF8FF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FFE1B2"/>
        <bgColor auto="1"/>
      </patternFill>
    </fill>
    <fill>
      <patternFill patternType="solid">
        <fgColor rgb="FFCC0000"/>
        <bgColor auto="1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rgb="FF000000"/>
      </patternFill>
    </fill>
    <fill>
      <patternFill patternType="none">
        <fgColor auto="1"/>
        <bgColor auto="1"/>
      </patternFill>
    </fill>
    <fill>
      <patternFill patternType="solid">
        <fgColor rgb="FFFFFF00"/>
        <bgColor auto="1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 diagonalUp="1" diagonalDown="1">
      <left/>
      <right/>
      <top style="thin">
        <color rgb="FF000000"/>
      </top>
      <bottom/>
      <diagonal/>
    </border>
    <border diagonalUp="1" diagonalDown="1"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 diagonalUp="1" diagonalDown="1">
      <left/>
      <right style="thin">
        <color rgb="FF000000"/>
      </right>
      <top/>
      <bottom/>
      <diagonal/>
    </border>
    <border diagonalUp="1" diagonalDown="1">
      <left/>
      <right/>
      <top/>
      <bottom style="thin">
        <color rgb="FF000000"/>
      </bottom>
      <diagonal/>
    </border>
    <border diagonalUp="1" diagonalDown="1"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25">
    <xf numFmtId="0" fontId="0" fillId="0" borderId="0" xfId="0">
      <alignment vertical="center"/>
    </xf>
    <xf numFmtId="0" fontId="1" fillId="0" borderId="0" xfId="0" applyFont="1">
      <alignment vertical="center"/>
    </xf>
    <xf numFmtId="176" fontId="2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left" vertical="center"/>
    </xf>
    <xf numFmtId="0" fontId="4" fillId="0" borderId="0" xfId="0" applyFont="1">
      <alignment vertical="center"/>
    </xf>
    <xf numFmtId="0" fontId="5" fillId="2" borderId="1" xfId="0" applyFont="1" applyFill="1" applyBorder="1">
      <alignment vertical="center"/>
    </xf>
    <xf numFmtId="176" fontId="6" fillId="2" borderId="2" xfId="0" applyNumberFormat="1" applyFont="1" applyFill="1" applyBorder="1" applyAlignment="1">
      <alignment horizontal="right" vertical="center"/>
    </xf>
    <xf numFmtId="176" fontId="6" fillId="2" borderId="3" xfId="0" applyNumberFormat="1" applyFont="1" applyFill="1" applyBorder="1" applyAlignment="1">
      <alignment horizontal="right" vertical="center"/>
    </xf>
    <xf numFmtId="0" fontId="7" fillId="0" borderId="4" xfId="0" applyFont="1" applyBorder="1">
      <alignment vertical="center"/>
    </xf>
    <xf numFmtId="177" fontId="8" fillId="0" borderId="0" xfId="0" applyNumberFormat="1" applyFont="1" applyAlignment="1">
      <alignment horizontal="right" vertical="center"/>
    </xf>
    <xf numFmtId="0" fontId="7" fillId="0" borderId="6" xfId="0" applyFont="1" applyBorder="1">
      <alignment vertical="center"/>
    </xf>
    <xf numFmtId="0" fontId="9" fillId="0" borderId="0" xfId="0" applyFont="1">
      <alignment vertical="center"/>
    </xf>
    <xf numFmtId="0" fontId="8" fillId="0" borderId="0" xfId="0" applyFont="1">
      <alignment vertical="center"/>
    </xf>
    <xf numFmtId="49" fontId="10" fillId="0" borderId="0" xfId="0" applyNumberFormat="1" applyFont="1" applyAlignment="1">
      <alignment horizontal="left" vertical="center"/>
    </xf>
    <xf numFmtId="0" fontId="11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176" fontId="6" fillId="2" borderId="9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77" fontId="7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8" fillId="0" borderId="10" xfId="0" applyNumberFormat="1" applyFont="1" applyBorder="1" applyAlignment="1">
      <alignment horizontal="right" vertical="center"/>
    </xf>
    <xf numFmtId="177" fontId="8" fillId="0" borderId="5" xfId="0" applyNumberFormat="1" applyFont="1" applyBorder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10" fontId="12" fillId="0" borderId="0" xfId="0" applyNumberFormat="1" applyFont="1" applyAlignment="1">
      <alignment horizontal="left" vertical="center"/>
    </xf>
    <xf numFmtId="10" fontId="13" fillId="0" borderId="0" xfId="0" applyNumberFormat="1" applyFont="1" applyAlignment="1">
      <alignment horizontal="left" vertical="center"/>
    </xf>
    <xf numFmtId="0" fontId="14" fillId="0" borderId="11" xfId="0" applyFont="1" applyBorder="1">
      <alignment vertical="center"/>
    </xf>
    <xf numFmtId="177" fontId="15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1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horizontal="left" vertical="center"/>
    </xf>
    <xf numFmtId="0" fontId="4" fillId="0" borderId="12" xfId="0" applyFont="1" applyBorder="1">
      <alignment vertical="center"/>
    </xf>
    <xf numFmtId="179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1" fillId="0" borderId="0" xfId="0" applyNumberFormat="1" applyFont="1" applyAlignment="1">
      <alignment horizontal="right" vertical="center"/>
    </xf>
    <xf numFmtId="176" fontId="1" fillId="0" borderId="10" xfId="0" applyNumberFormat="1" applyFont="1" applyBorder="1" applyAlignment="1">
      <alignment horizontal="left" vertical="center"/>
    </xf>
    <xf numFmtId="0" fontId="1" fillId="0" borderId="5" xfId="0" applyFont="1" applyBorder="1">
      <alignment vertical="center"/>
    </xf>
    <xf numFmtId="178" fontId="9" fillId="0" borderId="10" xfId="0" applyNumberFormat="1" applyFont="1" applyBorder="1" applyAlignment="1">
      <alignment horizontal="right" vertical="center"/>
    </xf>
    <xf numFmtId="0" fontId="1" fillId="0" borderId="13" xfId="0" applyFont="1" applyBorder="1">
      <alignment vertical="center"/>
    </xf>
    <xf numFmtId="178" fontId="9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right" vertical="center"/>
    </xf>
    <xf numFmtId="178" fontId="9" fillId="0" borderId="13" xfId="0" applyNumberFormat="1" applyFont="1" applyBorder="1" applyAlignment="1">
      <alignment horizontal="right" vertical="center"/>
    </xf>
    <xf numFmtId="0" fontId="11" fillId="0" borderId="4" xfId="0" applyFont="1" applyBorder="1">
      <alignment vertical="center"/>
    </xf>
    <xf numFmtId="178" fontId="11" fillId="0" borderId="0" xfId="0" applyNumberFormat="1" applyFont="1" applyAlignment="1">
      <alignment horizontal="right" vertical="center"/>
    </xf>
    <xf numFmtId="0" fontId="13" fillId="0" borderId="0" xfId="0" applyFont="1" applyAlignment="1">
      <alignment horizontal="center" vertical="center"/>
    </xf>
    <xf numFmtId="176" fontId="13" fillId="0" borderId="0" xfId="0" applyNumberFormat="1" applyFont="1" applyAlignment="1">
      <alignment horizontal="right" vertical="center"/>
    </xf>
    <xf numFmtId="176" fontId="13" fillId="0" borderId="10" xfId="0" applyNumberFormat="1" applyFont="1" applyBorder="1" applyAlignment="1">
      <alignment horizontal="right" vertical="center"/>
    </xf>
    <xf numFmtId="176" fontId="18" fillId="0" borderId="13" xfId="0" applyNumberFormat="1" applyFont="1" applyBorder="1" applyAlignment="1">
      <alignment horizontal="right" vertical="center"/>
    </xf>
    <xf numFmtId="178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10" fontId="7" fillId="0" borderId="0" xfId="0" applyNumberFormat="1" applyFont="1" applyAlignment="1">
      <alignment horizontal="right" vertical="center"/>
    </xf>
    <xf numFmtId="10" fontId="8" fillId="0" borderId="10" xfId="0" applyNumberFormat="1" applyFont="1" applyBorder="1" applyAlignment="1">
      <alignment horizontal="right" vertical="center"/>
    </xf>
    <xf numFmtId="180" fontId="1" fillId="0" borderId="10" xfId="0" applyNumberFormat="1" applyFont="1" applyBorder="1" applyAlignment="1">
      <alignment horizontal="left" vertical="center"/>
    </xf>
    <xf numFmtId="0" fontId="14" fillId="3" borderId="11" xfId="0" applyFont="1" applyFill="1" applyBorder="1">
      <alignment vertical="center"/>
    </xf>
    <xf numFmtId="180" fontId="19" fillId="4" borderId="0" xfId="0" applyNumberFormat="1" applyFont="1" applyFill="1" applyAlignment="1">
      <alignment horizontal="right" vertical="center"/>
    </xf>
    <xf numFmtId="180" fontId="19" fillId="4" borderId="12" xfId="0" applyNumberFormat="1" applyFont="1" applyFill="1" applyBorder="1" applyAlignment="1">
      <alignment horizontal="right" vertical="center"/>
    </xf>
    <xf numFmtId="0" fontId="20" fillId="4" borderId="4" xfId="0" applyFont="1" applyFill="1" applyBorder="1">
      <alignment vertical="center"/>
    </xf>
    <xf numFmtId="180" fontId="21" fillId="4" borderId="0" xfId="0" applyNumberFormat="1" applyFont="1" applyFill="1" applyAlignment="1">
      <alignment horizontal="right" vertical="center"/>
    </xf>
    <xf numFmtId="180" fontId="21" fillId="4" borderId="10" xfId="0" applyNumberFormat="1" applyFont="1" applyFill="1" applyBorder="1" applyAlignment="1">
      <alignment horizontal="right" vertical="center"/>
    </xf>
    <xf numFmtId="180" fontId="21" fillId="4" borderId="13" xfId="0" applyNumberFormat="1" applyFont="1" applyFill="1" applyBorder="1" applyAlignment="1">
      <alignment horizontal="right" vertical="center"/>
    </xf>
    <xf numFmtId="4" fontId="8" fillId="0" borderId="0" xfId="0" applyNumberFormat="1" applyFont="1" applyAlignment="1">
      <alignment horizontal="right" vertical="center"/>
    </xf>
    <xf numFmtId="0" fontId="1" fillId="0" borderId="0" xfId="0" applyFont="1">
      <alignment vertical="center"/>
    </xf>
    <xf numFmtId="176" fontId="22" fillId="0" borderId="0" xfId="0" applyNumberFormat="1" applyFont="1" applyAlignment="1">
      <alignment horizontal="left" vertical="center"/>
    </xf>
    <xf numFmtId="176" fontId="22" fillId="0" borderId="10" xfId="0" applyNumberFormat="1" applyFont="1" applyBorder="1" applyAlignment="1">
      <alignment horizontal="left" vertical="center"/>
    </xf>
    <xf numFmtId="0" fontId="1" fillId="0" borderId="10" xfId="0" applyFont="1" applyBorder="1">
      <alignment vertical="center"/>
    </xf>
    <xf numFmtId="177" fontId="8" fillId="0" borderId="13" xfId="0" applyNumberFormat="1" applyFont="1" applyBorder="1" applyAlignment="1">
      <alignment horizontal="right" vertical="center"/>
    </xf>
    <xf numFmtId="0" fontId="7" fillId="0" borderId="1" xfId="0" applyFont="1" applyBorder="1">
      <alignment vertical="center"/>
    </xf>
    <xf numFmtId="4" fontId="8" fillId="0" borderId="2" xfId="0" applyNumberFormat="1" applyFont="1" applyBorder="1" applyAlignment="1">
      <alignment horizontal="right" vertical="center"/>
    </xf>
    <xf numFmtId="4" fontId="8" fillId="4" borderId="2" xfId="0" applyNumberFormat="1" applyFont="1" applyFill="1" applyBorder="1" applyAlignment="1">
      <alignment horizontal="right" vertical="center"/>
    </xf>
    <xf numFmtId="0" fontId="1" fillId="4" borderId="0" xfId="0" applyFont="1" applyFill="1">
      <alignment vertical="center"/>
    </xf>
    <xf numFmtId="178" fontId="0" fillId="0" borderId="0" xfId="0" applyNumberFormat="1">
      <alignment vertical="center"/>
    </xf>
    <xf numFmtId="9" fontId="23" fillId="0" borderId="0" xfId="0" applyNumberFormat="1" applyFont="1" applyAlignment="1">
      <alignment horizontal="right" vertical="center"/>
    </xf>
    <xf numFmtId="10" fontId="8" fillId="0" borderId="13" xfId="0" applyNumberFormat="1" applyFont="1" applyBorder="1" applyAlignment="1">
      <alignment horizontal="right" vertical="center"/>
    </xf>
    <xf numFmtId="3" fontId="7" fillId="0" borderId="0" xfId="0" applyNumberFormat="1" applyFont="1" applyAlignment="1">
      <alignment horizontal="right" vertical="center"/>
    </xf>
    <xf numFmtId="3" fontId="8" fillId="0" borderId="0" xfId="0" applyNumberFormat="1" applyFont="1" applyAlignment="1">
      <alignment horizontal="right" vertical="center"/>
    </xf>
    <xf numFmtId="10" fontId="1" fillId="0" borderId="0" xfId="0" applyNumberFormat="1" applyFont="1">
      <alignment vertical="center"/>
    </xf>
    <xf numFmtId="0" fontId="24" fillId="0" borderId="0" xfId="0" applyFont="1">
      <alignment vertical="center"/>
    </xf>
    <xf numFmtId="3" fontId="16" fillId="0" borderId="0" xfId="0" applyNumberFormat="1" applyFont="1" applyAlignment="1">
      <alignment horizontal="right" vertical="center"/>
    </xf>
    <xf numFmtId="3" fontId="16" fillId="3" borderId="0" xfId="0" applyNumberFormat="1" applyFont="1" applyFill="1" applyAlignment="1">
      <alignment horizontal="right" vertical="center"/>
    </xf>
    <xf numFmtId="176" fontId="25" fillId="0" borderId="0" xfId="0" applyNumberFormat="1" applyFont="1" applyAlignment="1">
      <alignment horizontal="left" vertical="center"/>
    </xf>
    <xf numFmtId="10" fontId="4" fillId="0" borderId="12" xfId="0" applyNumberFormat="1" applyFont="1" applyBorder="1" applyAlignment="1">
      <alignment horizontal="left" vertical="center"/>
    </xf>
    <xf numFmtId="10" fontId="26" fillId="0" borderId="0" xfId="0" applyNumberFormat="1" applyFont="1" applyAlignment="1">
      <alignment horizontal="right" vertical="center"/>
    </xf>
    <xf numFmtId="10" fontId="1" fillId="0" borderId="13" xfId="0" applyNumberFormat="1" applyFont="1" applyBorder="1" applyAlignment="1">
      <alignment horizontal="left" vertical="center"/>
    </xf>
    <xf numFmtId="10" fontId="26" fillId="0" borderId="7" xfId="0" applyNumberFormat="1" applyFont="1" applyBorder="1" applyAlignment="1">
      <alignment horizontal="right" vertical="center"/>
    </xf>
    <xf numFmtId="0" fontId="1" fillId="4" borderId="7" xfId="0" applyFont="1" applyFill="1" applyBorder="1">
      <alignment vertical="center"/>
    </xf>
    <xf numFmtId="0" fontId="1" fillId="0" borderId="7" xfId="0" applyFont="1" applyBorder="1">
      <alignment vertical="center"/>
    </xf>
    <xf numFmtId="176" fontId="22" fillId="0" borderId="7" xfId="0" applyNumberFormat="1" applyFont="1" applyBorder="1" applyAlignment="1">
      <alignment horizontal="left" vertical="center"/>
    </xf>
    <xf numFmtId="176" fontId="22" fillId="0" borderId="14" xfId="0" applyNumberFormat="1" applyFont="1" applyBorder="1" applyAlignment="1">
      <alignment horizontal="left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4" fillId="0" borderId="6" xfId="0" applyFont="1" applyBorder="1">
      <alignment vertical="center"/>
    </xf>
    <xf numFmtId="10" fontId="27" fillId="0" borderId="7" xfId="0" applyNumberFormat="1" applyFont="1" applyBorder="1" applyAlignment="1">
      <alignment horizontal="right" vertical="center"/>
    </xf>
    <xf numFmtId="10" fontId="4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0" fontId="28" fillId="0" borderId="0" xfId="0" applyFont="1">
      <alignment vertical="center"/>
    </xf>
    <xf numFmtId="0" fontId="29" fillId="0" borderId="0" xfId="0" applyFont="1">
      <alignment vertical="center"/>
    </xf>
    <xf numFmtId="0" fontId="29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0" fillId="2" borderId="1" xfId="0" applyFont="1" applyFill="1" applyBorder="1">
      <alignment vertical="center"/>
    </xf>
    <xf numFmtId="0" fontId="31" fillId="5" borderId="2" xfId="0" applyFont="1" applyFill="1" applyBorder="1">
      <alignment vertical="center"/>
    </xf>
    <xf numFmtId="0" fontId="6" fillId="2" borderId="2" xfId="0" applyFont="1" applyFill="1" applyBorder="1" applyAlignment="1">
      <alignment horizontal="right" vertical="center"/>
    </xf>
    <xf numFmtId="176" fontId="32" fillId="2" borderId="2" xfId="0" applyNumberFormat="1" applyFont="1" applyFill="1" applyBorder="1" applyAlignment="1">
      <alignment horizontal="right" vertical="center"/>
    </xf>
    <xf numFmtId="0" fontId="33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26" fillId="6" borderId="4" xfId="0" applyFont="1" applyFill="1" applyBorder="1" applyAlignment="1">
      <alignment vertical="center" wrapText="1"/>
    </xf>
    <xf numFmtId="177" fontId="26" fillId="6" borderId="0" xfId="0" applyNumberFormat="1" applyFont="1" applyFill="1" applyAlignment="1">
      <alignment horizontal="right" vertical="center"/>
    </xf>
    <xf numFmtId="0" fontId="26" fillId="6" borderId="0" xfId="0" applyFont="1" applyFill="1">
      <alignment vertical="center"/>
    </xf>
    <xf numFmtId="177" fontId="27" fillId="6" borderId="0" xfId="0" applyNumberFormat="1" applyFont="1" applyFill="1" applyAlignment="1">
      <alignment horizontal="right" vertical="center"/>
    </xf>
    <xf numFmtId="10" fontId="16" fillId="0" borderId="0" xfId="0" applyNumberFormat="1" applyFont="1" applyAlignment="1">
      <alignment horizontal="right" vertical="center"/>
    </xf>
    <xf numFmtId="10" fontId="4" fillId="0" borderId="0" xfId="0" applyNumberFormat="1" applyFont="1" applyAlignment="1">
      <alignment horizontal="center" vertical="center"/>
    </xf>
    <xf numFmtId="0" fontId="27" fillId="6" borderId="0" xfId="0" applyFont="1" applyFill="1">
      <alignment vertical="center"/>
    </xf>
    <xf numFmtId="0" fontId="34" fillId="6" borderId="4" xfId="0" applyFont="1" applyFill="1" applyBorder="1" applyAlignment="1">
      <alignment vertical="center" wrapText="1"/>
    </xf>
    <xf numFmtId="0" fontId="34" fillId="7" borderId="4" xfId="0" applyFont="1" applyFill="1" applyBorder="1">
      <alignment vertical="center"/>
    </xf>
    <xf numFmtId="177" fontId="26" fillId="7" borderId="0" xfId="0" applyNumberFormat="1" applyFont="1" applyFill="1" applyAlignment="1">
      <alignment horizontal="right" vertical="center" wrapText="1"/>
    </xf>
    <xf numFmtId="177" fontId="26" fillId="8" borderId="0" xfId="0" applyNumberFormat="1" applyFont="1" applyFill="1" applyAlignment="1">
      <alignment horizontal="right" vertical="center"/>
    </xf>
    <xf numFmtId="177" fontId="27" fillId="8" borderId="0" xfId="0" applyNumberFormat="1" applyFont="1" applyFill="1" applyAlignment="1">
      <alignment horizontal="right" vertical="center"/>
    </xf>
    <xf numFmtId="0" fontId="26" fillId="7" borderId="4" xfId="0" applyFont="1" applyFill="1" applyBorder="1">
      <alignment vertical="center"/>
    </xf>
    <xf numFmtId="0" fontId="26" fillId="7" borderId="0" xfId="0" applyFont="1" applyFill="1">
      <alignment vertical="center"/>
    </xf>
    <xf numFmtId="177" fontId="35" fillId="8" borderId="0" xfId="0" applyNumberFormat="1" applyFont="1" applyFill="1" applyAlignment="1">
      <alignment horizontal="right" vertical="center"/>
    </xf>
    <xf numFmtId="0" fontId="26" fillId="9" borderId="4" xfId="0" applyFont="1" applyFill="1" applyBorder="1">
      <alignment vertical="center"/>
    </xf>
    <xf numFmtId="181" fontId="36" fillId="9" borderId="0" xfId="0" applyNumberFormat="1" applyFont="1" applyFill="1" applyAlignment="1">
      <alignment horizontal="right" vertical="center"/>
    </xf>
    <xf numFmtId="181" fontId="26" fillId="9" borderId="0" xfId="0" applyNumberFormat="1" applyFont="1" applyFill="1" applyAlignment="1">
      <alignment horizontal="right" vertical="center"/>
    </xf>
    <xf numFmtId="177" fontId="26" fillId="9" borderId="0" xfId="0" applyNumberFormat="1" applyFont="1" applyFill="1" applyAlignment="1">
      <alignment horizontal="right" vertical="center"/>
    </xf>
    <xf numFmtId="0" fontId="26" fillId="9" borderId="0" xfId="0" applyFont="1" applyFill="1">
      <alignment vertical="center"/>
    </xf>
    <xf numFmtId="176" fontId="27" fillId="9" borderId="0" xfId="0" applyNumberFormat="1" applyFont="1" applyFill="1">
      <alignment vertical="center"/>
    </xf>
    <xf numFmtId="176" fontId="35" fillId="9" borderId="0" xfId="0" applyNumberFormat="1" applyFont="1" applyFill="1">
      <alignment vertical="center"/>
    </xf>
    <xf numFmtId="176" fontId="37" fillId="9" borderId="0" xfId="0" applyNumberFormat="1" applyFont="1" applyFill="1">
      <alignment vertical="center"/>
    </xf>
    <xf numFmtId="176" fontId="38" fillId="9" borderId="0" xfId="0" applyNumberFormat="1" applyFont="1" applyFill="1">
      <alignment vertical="center"/>
    </xf>
    <xf numFmtId="176" fontId="38" fillId="9" borderId="0" xfId="0" applyNumberFormat="1" applyFont="1" applyFill="1" applyAlignment="1">
      <alignment horizontal="right" vertical="center"/>
    </xf>
    <xf numFmtId="176" fontId="35" fillId="9" borderId="0" xfId="0" applyNumberFormat="1" applyFont="1" applyFill="1" applyAlignment="1">
      <alignment horizontal="right" vertical="center"/>
    </xf>
    <xf numFmtId="9" fontId="0" fillId="0" borderId="0" xfId="0" applyNumberFormat="1" applyAlignment="1">
      <alignment horizontal="center" vertical="center"/>
    </xf>
    <xf numFmtId="0" fontId="15" fillId="4" borderId="4" xfId="0" applyFont="1" applyFill="1" applyBorder="1">
      <alignment vertical="center"/>
    </xf>
    <xf numFmtId="0" fontId="19" fillId="4" borderId="0" xfId="0" applyFont="1" applyFill="1">
      <alignment vertical="center"/>
    </xf>
    <xf numFmtId="0" fontId="14" fillId="0" borderId="0" xfId="0" applyFont="1">
      <alignment vertical="center"/>
    </xf>
    <xf numFmtId="0" fontId="7" fillId="4" borderId="6" xfId="0" applyFont="1" applyFill="1" applyBorder="1">
      <alignment vertical="center"/>
    </xf>
    <xf numFmtId="0" fontId="21" fillId="4" borderId="7" xfId="0" applyFont="1" applyFill="1" applyBorder="1">
      <alignment vertical="center"/>
    </xf>
    <xf numFmtId="177" fontId="21" fillId="4" borderId="7" xfId="0" applyNumberFormat="1" applyFont="1" applyFill="1" applyBorder="1">
      <alignment vertical="center"/>
    </xf>
    <xf numFmtId="0" fontId="19" fillId="4" borderId="7" xfId="0" applyFont="1" applyFill="1" applyBorder="1">
      <alignment vertical="center"/>
    </xf>
    <xf numFmtId="0" fontId="19" fillId="4" borderId="7" xfId="0" applyFont="1" applyFill="1" applyBorder="1" applyAlignment="1"/>
    <xf numFmtId="0" fontId="39" fillId="4" borderId="6" xfId="0" applyFont="1" applyFill="1" applyBorder="1">
      <alignment vertical="center"/>
    </xf>
    <xf numFmtId="177" fontId="22" fillId="4" borderId="7" xfId="0" applyNumberFormat="1" applyFont="1" applyFill="1" applyBorder="1" applyAlignment="1">
      <alignment horizontal="right" vertical="center"/>
    </xf>
    <xf numFmtId="178" fontId="11" fillId="4" borderId="7" xfId="0" applyNumberFormat="1" applyFont="1" applyFill="1" applyBorder="1" applyAlignment="1">
      <alignment horizontal="left" vertical="center"/>
    </xf>
    <xf numFmtId="177" fontId="8" fillId="4" borderId="7" xfId="0" applyNumberFormat="1" applyFont="1" applyFill="1" applyBorder="1" applyAlignment="1">
      <alignment horizontal="right" vertical="center"/>
    </xf>
    <xf numFmtId="177" fontId="16" fillId="4" borderId="7" xfId="0" applyNumberFormat="1" applyFont="1" applyFill="1" applyBorder="1" applyAlignment="1">
      <alignment horizontal="right" vertical="center"/>
    </xf>
    <xf numFmtId="177" fontId="8" fillId="4" borderId="8" xfId="0" applyNumberFormat="1" applyFont="1" applyFill="1" applyBorder="1" applyAlignment="1">
      <alignment horizontal="right" vertical="center"/>
    </xf>
    <xf numFmtId="177" fontId="16" fillId="4" borderId="8" xfId="0" applyNumberFormat="1" applyFont="1" applyFill="1" applyBorder="1" applyAlignment="1">
      <alignment horizontal="right" vertical="center"/>
    </xf>
    <xf numFmtId="0" fontId="7" fillId="4" borderId="6" xfId="0" applyFont="1" applyFill="1" applyBorder="1">
      <alignment vertical="center"/>
    </xf>
    <xf numFmtId="177" fontId="19" fillId="4" borderId="7" xfId="0" applyNumberFormat="1" applyFont="1" applyFill="1" applyBorder="1" applyAlignment="1">
      <alignment horizontal="right" vertical="center"/>
    </xf>
    <xf numFmtId="177" fontId="40" fillId="4" borderId="7" xfId="0" applyNumberFormat="1" applyFont="1" applyFill="1" applyBorder="1" applyAlignment="1">
      <alignment horizontal="right" vertical="center"/>
    </xf>
    <xf numFmtId="177" fontId="16" fillId="0" borderId="0" xfId="0" applyNumberFormat="1" applyFont="1" applyAlignment="1">
      <alignment horizontal="right" vertical="center"/>
    </xf>
    <xf numFmtId="10" fontId="9" fillId="0" borderId="8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180" fontId="17" fillId="0" borderId="0" xfId="0" applyNumberFormat="1" applyFont="1" applyAlignment="1">
      <alignment horizontal="right" vertical="center"/>
    </xf>
    <xf numFmtId="176" fontId="3" fillId="0" borderId="0" xfId="0" applyNumberFormat="1" applyFont="1" applyAlignment="1">
      <alignment horizontal="left" vertical="center"/>
    </xf>
    <xf numFmtId="0" fontId="41" fillId="0" borderId="0" xfId="0" applyFont="1">
      <alignment vertical="center"/>
    </xf>
    <xf numFmtId="0" fontId="45" fillId="0" borderId="0" xfId="0" applyFont="1" applyAlignment="1">
      <alignment vertical="center" wrapText="1"/>
    </xf>
    <xf numFmtId="0" fontId="46" fillId="0" borderId="0" xfId="0" applyFont="1" applyAlignment="1">
      <alignment vertical="center" wrapText="1"/>
    </xf>
    <xf numFmtId="0" fontId="27" fillId="6" borderId="11" xfId="0" applyFont="1" applyFill="1" applyBorder="1" applyAlignment="1">
      <alignment vertical="center" wrapText="1"/>
    </xf>
    <xf numFmtId="0" fontId="27" fillId="6" borderId="4" xfId="0" applyFont="1" applyFill="1" applyBorder="1" applyAlignment="1">
      <alignment vertical="center" wrapText="1"/>
    </xf>
    <xf numFmtId="0" fontId="27" fillId="7" borderId="4" xfId="0" applyFont="1" applyFill="1" applyBorder="1">
      <alignment vertical="center"/>
    </xf>
    <xf numFmtId="177" fontId="27" fillId="7" borderId="0" xfId="0" applyNumberFormat="1" applyFont="1" applyFill="1" applyAlignment="1">
      <alignment horizontal="right" vertical="center" wrapText="1"/>
    </xf>
    <xf numFmtId="0" fontId="27" fillId="7" borderId="4" xfId="0" applyFont="1" applyFill="1" applyBorder="1">
      <alignment vertical="center"/>
    </xf>
    <xf numFmtId="0" fontId="27" fillId="9" borderId="4" xfId="0" applyFont="1" applyFill="1" applyBorder="1">
      <alignment vertical="center"/>
    </xf>
    <xf numFmtId="181" fontId="47" fillId="9" borderId="0" xfId="0" applyNumberFormat="1" applyFont="1" applyFill="1" applyAlignment="1">
      <alignment horizontal="right" vertical="center"/>
    </xf>
    <xf numFmtId="181" fontId="27" fillId="9" borderId="0" xfId="0" applyNumberFormat="1" applyFont="1" applyFill="1" applyAlignment="1">
      <alignment horizontal="right" vertical="center"/>
    </xf>
    <xf numFmtId="177" fontId="27" fillId="9" borderId="0" xfId="0" applyNumberFormat="1" applyFont="1" applyFill="1" applyAlignment="1">
      <alignment horizontal="right" vertical="center"/>
    </xf>
    <xf numFmtId="0" fontId="15" fillId="4" borderId="6" xfId="0" applyFont="1" applyFill="1" applyBorder="1">
      <alignment vertical="center"/>
    </xf>
    <xf numFmtId="0" fontId="15" fillId="4" borderId="6" xfId="0" applyFont="1" applyFill="1" applyBorder="1">
      <alignment vertical="center"/>
    </xf>
    <xf numFmtId="0" fontId="48" fillId="0" borderId="0" xfId="0" applyFont="1">
      <alignment vertical="center"/>
    </xf>
    <xf numFmtId="176" fontId="49" fillId="0" borderId="0" xfId="0" applyNumberFormat="1" applyFont="1" applyAlignment="1">
      <alignment horizontal="right" vertical="center"/>
    </xf>
    <xf numFmtId="0" fontId="4" fillId="3" borderId="0" xfId="0" applyFont="1" applyFill="1">
      <alignment vertical="center"/>
    </xf>
    <xf numFmtId="0" fontId="50" fillId="0" borderId="0" xfId="0" applyFont="1">
      <alignment vertical="center"/>
    </xf>
    <xf numFmtId="0" fontId="32" fillId="2" borderId="2" xfId="0" applyFont="1" applyFill="1" applyBorder="1" applyAlignment="1">
      <alignment horizontal="center" vertical="center"/>
    </xf>
    <xf numFmtId="0" fontId="51" fillId="0" borderId="0" xfId="0" applyFont="1">
      <alignment vertical="center"/>
    </xf>
    <xf numFmtId="0" fontId="4" fillId="3" borderId="0" xfId="0" applyFont="1" applyFill="1" applyAlignment="1"/>
    <xf numFmtId="0" fontId="52" fillId="2" borderId="1" xfId="0" applyFont="1" applyFill="1" applyBorder="1">
      <alignment vertical="center"/>
    </xf>
    <xf numFmtId="0" fontId="42" fillId="5" borderId="2" xfId="0" applyFont="1" applyFill="1" applyBorder="1" applyAlignment="1">
      <alignment horizontal="center" vertical="center"/>
    </xf>
    <xf numFmtId="49" fontId="42" fillId="5" borderId="2" xfId="0" applyNumberFormat="1" applyFont="1" applyFill="1" applyBorder="1" applyAlignment="1">
      <alignment horizontal="center" vertical="center"/>
    </xf>
    <xf numFmtId="49" fontId="42" fillId="10" borderId="2" xfId="0" applyNumberFormat="1" applyFont="1" applyFill="1" applyBorder="1" applyAlignment="1">
      <alignment horizontal="center" vertical="center"/>
    </xf>
    <xf numFmtId="182" fontId="53" fillId="11" borderId="16" xfId="0" applyNumberFormat="1" applyFont="1" applyFill="1" applyBorder="1" applyAlignment="1">
      <alignment horizontal="right" vertical="center"/>
    </xf>
    <xf numFmtId="3" fontId="53" fillId="11" borderId="16" xfId="0" applyNumberFormat="1" applyFont="1" applyFill="1" applyBorder="1" applyAlignment="1">
      <alignment horizontal="right" vertical="center"/>
    </xf>
    <xf numFmtId="3" fontId="53" fillId="12" borderId="16" xfId="0" applyNumberFormat="1" applyFont="1" applyFill="1" applyBorder="1" applyAlignment="1">
      <alignment horizontal="right" vertical="center"/>
    </xf>
    <xf numFmtId="3" fontId="54" fillId="3" borderId="0" xfId="0" applyNumberFormat="1" applyFont="1" applyFill="1" applyAlignment="1"/>
    <xf numFmtId="3" fontId="53" fillId="11" borderId="17" xfId="0" applyNumberFormat="1" applyFont="1" applyFill="1" applyBorder="1" applyAlignment="1">
      <alignment horizontal="right" vertical="center"/>
    </xf>
    <xf numFmtId="177" fontId="27" fillId="6" borderId="18" xfId="0" applyNumberFormat="1" applyFont="1" applyFill="1" applyBorder="1" applyAlignment="1">
      <alignment horizontal="right" vertical="center"/>
    </xf>
    <xf numFmtId="177" fontId="27" fillId="6" borderId="19" xfId="0" applyNumberFormat="1" applyFont="1" applyFill="1" applyBorder="1" applyAlignment="1">
      <alignment horizontal="right" vertical="center"/>
    </xf>
    <xf numFmtId="0" fontId="27" fillId="6" borderId="4" xfId="0" applyFont="1" applyFill="1" applyBorder="1" applyAlignment="1">
      <alignment vertical="center" wrapText="1"/>
    </xf>
    <xf numFmtId="0" fontId="27" fillId="7" borderId="11" xfId="0" applyFont="1" applyFill="1" applyBorder="1">
      <alignment vertical="center"/>
    </xf>
    <xf numFmtId="41" fontId="55" fillId="3" borderId="0" xfId="0" applyNumberFormat="1" applyFont="1" applyFill="1" applyAlignment="1"/>
    <xf numFmtId="41" fontId="55" fillId="0" borderId="0" xfId="0" applyNumberFormat="1" applyFont="1" applyAlignment="1"/>
    <xf numFmtId="41" fontId="55" fillId="13" borderId="0" xfId="0" applyNumberFormat="1" applyFont="1" applyFill="1" applyAlignment="1"/>
    <xf numFmtId="177" fontId="27" fillId="8" borderId="20" xfId="0" applyNumberFormat="1" applyFont="1" applyFill="1" applyBorder="1" applyAlignment="1">
      <alignment horizontal="right" vertical="center"/>
    </xf>
    <xf numFmtId="41" fontId="55" fillId="3" borderId="20" xfId="0" applyNumberFormat="1" applyFont="1" applyFill="1" applyBorder="1" applyAlignment="1"/>
    <xf numFmtId="0" fontId="27" fillId="7" borderId="11" xfId="0" applyFont="1" applyFill="1" applyBorder="1">
      <alignment vertical="center"/>
    </xf>
    <xf numFmtId="177" fontId="27" fillId="7" borderId="20" xfId="0" applyNumberFormat="1" applyFont="1" applyFill="1" applyBorder="1" applyAlignment="1">
      <alignment horizontal="right" vertical="center" wrapText="1"/>
    </xf>
    <xf numFmtId="183" fontId="55" fillId="3" borderId="0" xfId="0" applyNumberFormat="1" applyFont="1" applyFill="1" applyAlignment="1"/>
    <xf numFmtId="183" fontId="55" fillId="0" borderId="0" xfId="0" applyNumberFormat="1" applyFont="1" applyAlignment="1"/>
    <xf numFmtId="183" fontId="55" fillId="13" borderId="0" xfId="0" applyNumberFormat="1" applyFont="1" applyFill="1" applyAlignment="1"/>
    <xf numFmtId="0" fontId="27" fillId="8" borderId="11" xfId="0" applyFont="1" applyFill="1" applyBorder="1">
      <alignment vertical="center"/>
    </xf>
    <xf numFmtId="176" fontId="27" fillId="8" borderId="0" xfId="0" applyNumberFormat="1" applyFont="1" applyFill="1">
      <alignment vertical="center"/>
    </xf>
    <xf numFmtId="181" fontId="47" fillId="8" borderId="0" xfId="0" applyNumberFormat="1" applyFont="1" applyFill="1" applyAlignment="1">
      <alignment horizontal="right" vertical="center"/>
    </xf>
    <xf numFmtId="181" fontId="27" fillId="8" borderId="0" xfId="0" applyNumberFormat="1" applyFont="1" applyFill="1" applyAlignment="1">
      <alignment horizontal="right" vertical="center"/>
    </xf>
    <xf numFmtId="0" fontId="27" fillId="9" borderId="11" xfId="0" applyFont="1" applyFill="1" applyBorder="1">
      <alignment vertical="center"/>
    </xf>
    <xf numFmtId="177" fontId="27" fillId="9" borderId="21" xfId="0" applyNumberFormat="1" applyFont="1" applyFill="1" applyBorder="1" applyAlignment="1">
      <alignment horizontal="right" vertical="center"/>
    </xf>
    <xf numFmtId="176" fontId="27" fillId="9" borderId="0" xfId="0" applyNumberFormat="1" applyFont="1" applyFill="1" applyAlignment="1"/>
    <xf numFmtId="177" fontId="19" fillId="4" borderId="7" xfId="0" applyNumberFormat="1" applyFont="1" applyFill="1" applyBorder="1">
      <alignment vertical="center"/>
    </xf>
    <xf numFmtId="177" fontId="19" fillId="4" borderId="7" xfId="0" applyNumberFormat="1" applyFont="1" applyFill="1" applyBorder="1" applyAlignment="1"/>
    <xf numFmtId="177" fontId="19" fillId="14" borderId="7" xfId="0" applyNumberFormat="1" applyFont="1" applyFill="1" applyBorder="1" applyAlignment="1"/>
    <xf numFmtId="0" fontId="14" fillId="4" borderId="6" xfId="0" applyFont="1" applyFill="1" applyBorder="1">
      <alignment vertical="center"/>
    </xf>
    <xf numFmtId="177" fontId="16" fillId="14" borderId="7" xfId="0" applyNumberFormat="1" applyFont="1" applyFill="1" applyBorder="1" applyAlignment="1">
      <alignment horizontal="right" vertical="center"/>
    </xf>
    <xf numFmtId="177" fontId="25" fillId="0" borderId="0" xfId="0" applyNumberFormat="1" applyFont="1" applyAlignment="1">
      <alignment horizontal="right" vertical="center"/>
    </xf>
    <xf numFmtId="178" fontId="14" fillId="0" borderId="0" xfId="0" applyNumberFormat="1" applyFont="1" applyAlignment="1">
      <alignment horizontal="left" vertical="center"/>
    </xf>
    <xf numFmtId="9" fontId="14" fillId="0" borderId="0" xfId="0" applyNumberFormat="1" applyFont="1">
      <alignment vertical="center"/>
    </xf>
    <xf numFmtId="0" fontId="51" fillId="0" borderId="0" xfId="0" applyFont="1">
      <alignment vertical="center"/>
    </xf>
    <xf numFmtId="180" fontId="51" fillId="0" borderId="0" xfId="0" applyNumberFormat="1" applyFont="1" applyAlignment="1">
      <alignment horizontal="right" vertical="center"/>
    </xf>
    <xf numFmtId="176" fontId="56" fillId="0" borderId="0" xfId="0" applyNumberFormat="1" applyFont="1" applyAlignment="1">
      <alignment horizontal="left" vertical="center"/>
    </xf>
    <xf numFmtId="0" fontId="57" fillId="0" borderId="0" xfId="0" applyFont="1">
      <alignment vertical="center"/>
    </xf>
    <xf numFmtId="0" fontId="0" fillId="0" borderId="0" xfId="0">
      <alignment vertical="center"/>
    </xf>
    <xf numFmtId="0" fontId="69" fillId="6" borderId="11" xfId="0" applyFont="1" applyFill="1" applyBorder="1" applyAlignment="1">
      <alignment horizontal="right" vertical="center" wrapText="1"/>
    </xf>
    <xf numFmtId="0" fontId="69" fillId="6" borderId="4" xfId="0" applyFont="1" applyFill="1" applyBorder="1" applyAlignment="1">
      <alignment horizontal="right" vertical="center" wrapText="1"/>
    </xf>
    <xf numFmtId="49" fontId="44" fillId="0" borderId="0" xfId="0" applyNumberFormat="1" applyFont="1" applyAlignment="1">
      <alignment vertical="center" wrapText="1"/>
    </xf>
    <xf numFmtId="0" fontId="0" fillId="0" borderId="0" xfId="0">
      <alignment vertical="center"/>
    </xf>
    <xf numFmtId="0" fontId="43" fillId="2" borderId="1" xfId="0" applyFont="1" applyFill="1" applyBorder="1">
      <alignment vertical="center"/>
    </xf>
    <xf numFmtId="0" fontId="67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microsoft.com/office/2017/10/relationships/person" Target="persons/person.xml"/></Relationships>
</file>

<file path=xl/persons/person.xml><?xml version="1.0" encoding="utf-8"?>
<tc2018:personList xmlns:tc2018="http://schemas.microsoft.com/office/spreadsheetml/2018/threadedcomments" xmlns:mc="http://schemas.openxmlformats.org/markup-compatibility/2006" mc:Ignorable="tc2018">
  <tc2018:person displayName="CHANG JIA YI" id="{4C97A895-E6C4-440F-9575-6AAA65D803C1}"/>
</tc2018: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c2018:ThreadedComments xmlns:tc2018="http://schemas.microsoft.com/office/spreadsheetml/2018/threadedcomments" xmlns:mc="http://schemas.openxmlformats.org/markup-compatibility/2006" mc:Ignorable="tc2018">
  <tc2018:threadedComment ref="AD50" dT="2026-01-14T03:51:48Z" personId="{4C97A895-E6C4-440F-9575-6AAA65D803C1}" id="{1FDE88D3-1D45-4FA7-907A-53FF2A2701F7}">
    <tc2018:text>数据更新至8月，最新数据还未更新 (14Jan2026)</tc2018:text>
  </tc2018:threadedComment>
  <tc2018:threadedComment ref="AE34" dT="2026-01-14T03:53:12Z" personId="{4C97A895-E6C4-440F-9575-6AAA65D803C1}" id="{CA38EDAA-0F03-481F-9F2E-82E061BE2F45}">
    <tc2018:text>10/11月数据为forecasted values</tc2018:text>
  </tc2018:threadedComment>
  <tc2018:threadedComment ref="AD42" dT="2026-01-14T03:54:07Z" personId="{4C97A895-E6C4-440F-9575-6AAA65D803C1}" id="{A7D6E512-DAC1-4A73-BA47-64A25ACE49C5}">
    <tc2018:text>最新数据到8月2025</tc2018:text>
  </tc2018:threadedComment>
</tc2018: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jk.go.id/id/berita-dan-kegiatan/siaran-pers/Default.aspx" TargetMode="External"/><Relationship Id="rId2" Type="http://schemas.openxmlformats.org/officeDocument/2006/relationships/hyperlink" Target="https://www.ojk.go.id/id/kanal/iknb/data-dan-statistik/fintech/Default.aspx" TargetMode="External"/><Relationship Id="rId1" Type="http://schemas.openxmlformats.org/officeDocument/2006/relationships/hyperlink" Target="https://www.bi.go.id/id/statistik/ekonomi-keuangan/sski/default.aspx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信贷市场测算-月度">
    <tabColor rgb="FF92D050"/>
  </sheetPr>
  <dimension ref="A1:AS119"/>
  <sheetViews>
    <sheetView zoomScaleNormal="100" workbookViewId="0">
      <pane xSplit="2" topLeftCell="C1" activePane="topRight" state="frozen"/>
      <selection pane="topRight" activeCell="B5" sqref="B5"/>
    </sheetView>
  </sheetViews>
  <sheetFormatPr defaultRowHeight="13"/>
  <cols>
    <col min="1" max="1" width="5.81640625" customWidth="1"/>
    <col min="2" max="2" width="46.90625" bestFit="1" customWidth="1"/>
    <col min="3" max="8" width="14.453125" customWidth="1"/>
    <col min="9" max="9" width="16.6328125" customWidth="1"/>
    <col min="10" max="34" width="14.453125" customWidth="1"/>
    <col min="35" max="35" width="16.6328125" customWidth="1"/>
    <col min="36" max="36" width="69.6328125" customWidth="1"/>
    <col min="37" max="42" width="14.453125" customWidth="1"/>
  </cols>
  <sheetData>
    <row r="1" spans="1:45">
      <c r="A1" s="4"/>
      <c r="B1" s="169" t="s">
        <v>0</v>
      </c>
      <c r="C1" s="170"/>
      <c r="D1" s="171"/>
      <c r="E1" s="170"/>
      <c r="F1" s="170"/>
      <c r="G1" s="4"/>
      <c r="H1" s="4"/>
      <c r="I1" s="4"/>
      <c r="J1" s="30"/>
      <c r="K1" s="30"/>
      <c r="L1" s="30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</row>
    <row r="2" spans="1:45">
      <c r="A2" s="4"/>
      <c r="B2" s="171" t="s">
        <v>49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5"/>
      <c r="Q2" s="175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</row>
    <row r="3" spans="1:45">
      <c r="A3" s="4"/>
      <c r="B3" s="176" t="s">
        <v>1</v>
      </c>
      <c r="C3" s="173">
        <v>2023.3</v>
      </c>
      <c r="D3" s="177">
        <v>2023.4</v>
      </c>
      <c r="E3" s="177">
        <v>2023.5</v>
      </c>
      <c r="F3" s="177">
        <v>2023.6</v>
      </c>
      <c r="G3" s="177">
        <v>2023.7</v>
      </c>
      <c r="H3" s="177">
        <v>2023.8</v>
      </c>
      <c r="I3" s="177">
        <v>2023.9</v>
      </c>
      <c r="J3" s="178" t="s">
        <v>50</v>
      </c>
      <c r="K3" s="177">
        <v>2023.11</v>
      </c>
      <c r="L3" s="177">
        <v>2023.12</v>
      </c>
      <c r="M3" s="177">
        <v>2024.3</v>
      </c>
      <c r="N3" s="177">
        <v>2024.4</v>
      </c>
      <c r="O3" s="177">
        <v>2024.5</v>
      </c>
      <c r="P3" s="177">
        <v>2024.6</v>
      </c>
      <c r="Q3" s="177">
        <v>2024.7</v>
      </c>
      <c r="R3" s="177">
        <v>2024.8</v>
      </c>
      <c r="S3" s="177">
        <v>2024.9</v>
      </c>
      <c r="T3" s="178" t="s">
        <v>51</v>
      </c>
      <c r="U3" s="178" t="s">
        <v>52</v>
      </c>
      <c r="V3" s="178" t="s">
        <v>53</v>
      </c>
      <c r="W3" s="178" t="s">
        <v>54</v>
      </c>
      <c r="X3" s="178" t="s">
        <v>55</v>
      </c>
      <c r="Y3" s="178" t="s">
        <v>56</v>
      </c>
      <c r="Z3" s="178" t="s">
        <v>57</v>
      </c>
      <c r="AA3" s="178" t="s">
        <v>58</v>
      </c>
      <c r="AB3" s="179" t="s">
        <v>59</v>
      </c>
      <c r="AC3" s="179" t="s">
        <v>60</v>
      </c>
      <c r="AD3" s="179" t="s">
        <v>61</v>
      </c>
      <c r="AE3" s="179" t="s">
        <v>62</v>
      </c>
      <c r="AF3" s="179" t="s">
        <v>63</v>
      </c>
      <c r="AG3" s="179" t="s">
        <v>64</v>
      </c>
      <c r="AH3" s="179" t="s">
        <v>65</v>
      </c>
      <c r="AI3" s="4"/>
      <c r="AJ3" s="134"/>
      <c r="AK3" s="134"/>
      <c r="AL3" s="134"/>
      <c r="AM3" s="134"/>
      <c r="AN3" s="4"/>
      <c r="AO3" s="4"/>
    </row>
    <row r="4" spans="1:45" ht="14">
      <c r="A4" s="4"/>
      <c r="B4" s="158"/>
      <c r="C4" s="180">
        <v>119561</v>
      </c>
      <c r="D4" s="180">
        <v>122669</v>
      </c>
      <c r="E4" s="180">
        <v>123894</v>
      </c>
      <c r="F4" s="180">
        <v>125262</v>
      </c>
      <c r="G4" s="180">
        <v>125331</v>
      </c>
      <c r="H4" s="180">
        <v>125195</v>
      </c>
      <c r="I4" s="180">
        <v>126430</v>
      </c>
      <c r="J4" s="180">
        <v>127114</v>
      </c>
      <c r="K4" s="181">
        <v>128825</v>
      </c>
      <c r="L4" s="181">
        <v>131420</v>
      </c>
      <c r="M4" s="181">
        <v>134794</v>
      </c>
      <c r="N4" s="181">
        <v>135875</v>
      </c>
      <c r="O4" s="181">
        <v>135736</v>
      </c>
      <c r="P4" s="181">
        <v>133191</v>
      </c>
      <c r="Q4" s="181">
        <v>135550</v>
      </c>
      <c r="R4" s="181">
        <v>135748</v>
      </c>
      <c r="S4" s="181">
        <v>137813</v>
      </c>
      <c r="T4" s="181">
        <v>139799.86761826399</v>
      </c>
      <c r="U4" s="181">
        <v>142442.030850849</v>
      </c>
      <c r="V4" s="181">
        <v>142092.196864389</v>
      </c>
      <c r="W4" s="181">
        <v>141535.65780396399</v>
      </c>
      <c r="X4" s="181">
        <v>141708.80912460401</v>
      </c>
      <c r="Y4" s="181">
        <v>142922</v>
      </c>
      <c r="Z4" s="181">
        <v>141760</v>
      </c>
      <c r="AA4" s="181">
        <v>142724</v>
      </c>
      <c r="AB4" s="182">
        <v>143026</v>
      </c>
      <c r="AC4" s="182">
        <v>141763</v>
      </c>
      <c r="AD4" s="182">
        <v>140405</v>
      </c>
      <c r="AE4" s="182"/>
      <c r="AF4" s="182"/>
      <c r="AG4" s="109"/>
      <c r="AH4" s="109"/>
      <c r="AI4" s="4"/>
      <c r="AJ4" s="134"/>
      <c r="AK4" s="134"/>
      <c r="AL4" s="134"/>
      <c r="AM4" s="134"/>
      <c r="AN4" s="4"/>
      <c r="AO4" s="4"/>
    </row>
    <row r="5" spans="1:45">
      <c r="A5" s="4"/>
      <c r="B5" s="159" t="s">
        <v>37</v>
      </c>
      <c r="C5" s="108">
        <f t="shared" ref="C5:AD5" si="0">C4/15000</f>
        <v>7.9707333333333334</v>
      </c>
      <c r="D5" s="108">
        <f t="shared" si="0"/>
        <v>8.1779333333333337</v>
      </c>
      <c r="E5" s="108">
        <f t="shared" si="0"/>
        <v>8.2596000000000007</v>
      </c>
      <c r="F5" s="108">
        <f t="shared" si="0"/>
        <v>8.3507999999999996</v>
      </c>
      <c r="G5" s="108">
        <f t="shared" si="0"/>
        <v>8.3553999999999995</v>
      </c>
      <c r="H5" s="108">
        <f t="shared" si="0"/>
        <v>8.3463333333333338</v>
      </c>
      <c r="I5" s="108">
        <f t="shared" si="0"/>
        <v>8.4286666666666665</v>
      </c>
      <c r="J5" s="108">
        <f t="shared" si="0"/>
        <v>8.4742666666666668</v>
      </c>
      <c r="K5" s="108">
        <f t="shared" si="0"/>
        <v>8.5883333333333329</v>
      </c>
      <c r="L5" s="108">
        <f t="shared" si="0"/>
        <v>8.761333333333333</v>
      </c>
      <c r="M5" s="108">
        <f t="shared" si="0"/>
        <v>8.9862666666666673</v>
      </c>
      <c r="N5" s="108">
        <f t="shared" si="0"/>
        <v>9.0583333333333336</v>
      </c>
      <c r="O5" s="108">
        <f t="shared" si="0"/>
        <v>9.0490666666666666</v>
      </c>
      <c r="P5" s="108">
        <f t="shared" si="0"/>
        <v>8.8794000000000004</v>
      </c>
      <c r="Q5" s="108">
        <f t="shared" si="0"/>
        <v>9.0366666666666671</v>
      </c>
      <c r="R5" s="108">
        <f t="shared" si="0"/>
        <v>9.0498666666666665</v>
      </c>
      <c r="S5" s="108">
        <f t="shared" si="0"/>
        <v>9.1875333333333327</v>
      </c>
      <c r="T5" s="108">
        <f t="shared" si="0"/>
        <v>9.3199911745509318</v>
      </c>
      <c r="U5" s="108">
        <f t="shared" si="0"/>
        <v>9.4961353900565992</v>
      </c>
      <c r="V5" s="108">
        <f t="shared" si="0"/>
        <v>9.4728131242925997</v>
      </c>
      <c r="W5" s="108">
        <f t="shared" si="0"/>
        <v>9.4357105202642657</v>
      </c>
      <c r="X5" s="108">
        <f t="shared" si="0"/>
        <v>9.4472539416402679</v>
      </c>
      <c r="Y5" s="108">
        <f t="shared" si="0"/>
        <v>9.5281333333333329</v>
      </c>
      <c r="Z5" s="108">
        <f t="shared" si="0"/>
        <v>9.4506666666666668</v>
      </c>
      <c r="AA5" s="108">
        <f t="shared" si="0"/>
        <v>9.5149333333333335</v>
      </c>
      <c r="AB5" s="108">
        <f t="shared" si="0"/>
        <v>9.5350666666666672</v>
      </c>
      <c r="AC5" s="108">
        <f t="shared" si="0"/>
        <v>9.4508666666666663</v>
      </c>
      <c r="AD5" s="108">
        <f t="shared" si="0"/>
        <v>9.3603333333333332</v>
      </c>
      <c r="AE5" s="108"/>
      <c r="AF5" s="108"/>
      <c r="AG5" s="108"/>
      <c r="AH5" s="108"/>
      <c r="AI5" s="4"/>
      <c r="AJ5" s="134"/>
      <c r="AK5" s="134"/>
      <c r="AL5" s="134"/>
      <c r="AM5" s="134"/>
      <c r="AN5" s="4"/>
      <c r="AO5" s="4"/>
    </row>
    <row r="6" spans="1:45" ht="14">
      <c r="A6" s="4"/>
      <c r="B6" s="158"/>
      <c r="C6" s="183">
        <v>688525</v>
      </c>
      <c r="D6" s="183">
        <v>686330</v>
      </c>
      <c r="E6" s="183">
        <v>688178</v>
      </c>
      <c r="F6" s="183">
        <v>687114</v>
      </c>
      <c r="G6" s="183">
        <v>689219</v>
      </c>
      <c r="H6" s="183">
        <v>681420</v>
      </c>
      <c r="I6" s="183">
        <v>686197</v>
      </c>
      <c r="J6" s="183">
        <v>688142</v>
      </c>
      <c r="K6" s="183">
        <v>691621</v>
      </c>
      <c r="L6" s="183">
        <v>699078</v>
      </c>
      <c r="M6" s="181">
        <v>706044</v>
      </c>
      <c r="N6" s="181">
        <v>707114</v>
      </c>
      <c r="O6" s="181">
        <v>712007</v>
      </c>
      <c r="P6" s="181">
        <v>717446</v>
      </c>
      <c r="Q6" s="181">
        <v>723275</v>
      </c>
      <c r="R6" s="181">
        <v>730202</v>
      </c>
      <c r="S6" s="181">
        <v>737386</v>
      </c>
      <c r="T6" s="181">
        <v>742873.10079473304</v>
      </c>
      <c r="U6" s="181">
        <v>748615.84834833397</v>
      </c>
      <c r="V6" s="181">
        <v>753955.63895335805</v>
      </c>
      <c r="W6" s="181">
        <v>753251.06140366104</v>
      </c>
      <c r="X6" s="181">
        <v>757446.38784860901</v>
      </c>
      <c r="Y6" s="184">
        <v>761145</v>
      </c>
      <c r="Z6" s="184">
        <v>763243</v>
      </c>
      <c r="AA6" s="184">
        <v>769186</v>
      </c>
      <c r="AB6" s="181">
        <v>774704</v>
      </c>
      <c r="AC6" s="181">
        <v>781705</v>
      </c>
      <c r="AD6" s="181">
        <v>788020</v>
      </c>
      <c r="AE6" s="181"/>
      <c r="AF6" s="181"/>
      <c r="AG6" s="185"/>
      <c r="AH6" s="185"/>
      <c r="AI6" s="4"/>
      <c r="AJ6" s="134"/>
      <c r="AK6" s="134"/>
      <c r="AL6" s="134"/>
      <c r="AM6" s="134"/>
      <c r="AN6" s="4"/>
      <c r="AO6" s="4"/>
    </row>
    <row r="7" spans="1:45">
      <c r="A7" s="4"/>
      <c r="B7" s="159" t="s">
        <v>38</v>
      </c>
      <c r="C7" s="108">
        <f t="shared" ref="C7:AD7" si="1">C6/15000</f>
        <v>45.901666666666664</v>
      </c>
      <c r="D7" s="108">
        <f t="shared" si="1"/>
        <v>45.755333333333333</v>
      </c>
      <c r="E7" s="108">
        <f t="shared" si="1"/>
        <v>45.87853333333333</v>
      </c>
      <c r="F7" s="108">
        <f t="shared" si="1"/>
        <v>45.807600000000001</v>
      </c>
      <c r="G7" s="108">
        <f t="shared" si="1"/>
        <v>45.947933333333332</v>
      </c>
      <c r="H7" s="108">
        <f t="shared" si="1"/>
        <v>45.427999999999997</v>
      </c>
      <c r="I7" s="108">
        <f t="shared" si="1"/>
        <v>45.74646666666667</v>
      </c>
      <c r="J7" s="108">
        <f t="shared" si="1"/>
        <v>45.876133333333335</v>
      </c>
      <c r="K7" s="108">
        <f t="shared" si="1"/>
        <v>46.108066666666666</v>
      </c>
      <c r="L7" s="108">
        <f t="shared" si="1"/>
        <v>46.605200000000004</v>
      </c>
      <c r="M7" s="108">
        <f t="shared" si="1"/>
        <v>47.069600000000001</v>
      </c>
      <c r="N7" s="108">
        <f t="shared" si="1"/>
        <v>47.140933333333336</v>
      </c>
      <c r="O7" s="108">
        <f t="shared" si="1"/>
        <v>47.467133333333337</v>
      </c>
      <c r="P7" s="108">
        <f t="shared" si="1"/>
        <v>47.82973333333333</v>
      </c>
      <c r="Q7" s="108">
        <f t="shared" si="1"/>
        <v>48.218333333333334</v>
      </c>
      <c r="R7" s="108">
        <f t="shared" si="1"/>
        <v>48.68013333333333</v>
      </c>
      <c r="S7" s="108">
        <f t="shared" si="1"/>
        <v>49.159066666666668</v>
      </c>
      <c r="T7" s="108">
        <f t="shared" si="1"/>
        <v>49.524873386315534</v>
      </c>
      <c r="U7" s="108">
        <f t="shared" si="1"/>
        <v>49.907723223222263</v>
      </c>
      <c r="V7" s="108">
        <f t="shared" si="1"/>
        <v>50.263709263557203</v>
      </c>
      <c r="W7" s="108">
        <f t="shared" si="1"/>
        <v>50.216737426910733</v>
      </c>
      <c r="X7" s="108">
        <f t="shared" si="1"/>
        <v>50.496425856573936</v>
      </c>
      <c r="Y7" s="108">
        <f t="shared" si="1"/>
        <v>50.743000000000002</v>
      </c>
      <c r="Z7" s="108">
        <f t="shared" si="1"/>
        <v>50.882866666666665</v>
      </c>
      <c r="AA7" s="108">
        <f t="shared" si="1"/>
        <v>51.279066666666665</v>
      </c>
      <c r="AB7" s="108">
        <f t="shared" si="1"/>
        <v>51.646933333333337</v>
      </c>
      <c r="AC7" s="108">
        <f t="shared" si="1"/>
        <v>52.113666666666667</v>
      </c>
      <c r="AD7" s="108">
        <f t="shared" si="1"/>
        <v>52.534666666666666</v>
      </c>
      <c r="AE7" s="108"/>
      <c r="AF7" s="108"/>
      <c r="AG7" s="108"/>
      <c r="AH7" s="108"/>
      <c r="AI7" s="4"/>
      <c r="AJ7" s="134"/>
      <c r="AK7" s="134"/>
      <c r="AL7" s="134"/>
      <c r="AM7" s="134"/>
      <c r="AN7" s="4"/>
      <c r="AO7" s="4"/>
    </row>
    <row r="8" spans="1:45">
      <c r="A8" s="4"/>
      <c r="B8" s="219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>
        <v>17720</v>
      </c>
      <c r="Q8" s="108">
        <v>18010</v>
      </c>
      <c r="R8" s="108">
        <v>18380</v>
      </c>
      <c r="S8" s="108">
        <v>19810</v>
      </c>
      <c r="T8" s="108">
        <v>21250</v>
      </c>
      <c r="U8" s="108">
        <v>21770</v>
      </c>
      <c r="V8" s="108"/>
      <c r="W8" s="108">
        <v>22570</v>
      </c>
      <c r="X8" s="108">
        <v>21980</v>
      </c>
      <c r="Y8" s="108">
        <v>22780</v>
      </c>
      <c r="Z8" s="108">
        <v>21350</v>
      </c>
      <c r="AA8" s="108">
        <v>21890</v>
      </c>
      <c r="AB8" s="108">
        <v>22990</v>
      </c>
      <c r="AC8" s="108">
        <v>24050</v>
      </c>
      <c r="AD8" s="108">
        <v>24330</v>
      </c>
      <c r="AE8" s="108"/>
      <c r="AF8" s="108"/>
      <c r="AG8" s="108"/>
      <c r="AH8" s="108"/>
      <c r="AI8" s="4"/>
      <c r="AJ8" s="134"/>
      <c r="AK8" s="134"/>
      <c r="AL8" s="134"/>
      <c r="AM8" s="134"/>
      <c r="AN8" s="4"/>
      <c r="AO8" s="4"/>
    </row>
    <row r="9" spans="1:45">
      <c r="A9" s="4"/>
      <c r="B9" s="159" t="s">
        <v>66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>
        <f t="shared" ref="P9:U9" si="2">P8/15000</f>
        <v>1.1813333333333333</v>
      </c>
      <c r="Q9" s="108">
        <f t="shared" si="2"/>
        <v>1.2006666666666668</v>
      </c>
      <c r="R9" s="108">
        <f t="shared" si="2"/>
        <v>1.2253333333333334</v>
      </c>
      <c r="S9" s="108">
        <f t="shared" si="2"/>
        <v>1.3206666666666667</v>
      </c>
      <c r="T9" s="186">
        <f t="shared" si="2"/>
        <v>1.4166666666666667</v>
      </c>
      <c r="U9" s="186">
        <f t="shared" si="2"/>
        <v>1.4513333333333334</v>
      </c>
      <c r="V9" s="186">
        <f>AVERAGE(U9,W9)</f>
        <v>1.478</v>
      </c>
      <c r="W9" s="186">
        <f t="shared" ref="W9:AD9" si="3">W8/15000</f>
        <v>1.5046666666666666</v>
      </c>
      <c r="X9" s="186">
        <f t="shared" si="3"/>
        <v>1.4653333333333334</v>
      </c>
      <c r="Y9" s="108">
        <f t="shared" si="3"/>
        <v>1.5186666666666666</v>
      </c>
      <c r="Z9" s="108">
        <f t="shared" si="3"/>
        <v>1.4233333333333333</v>
      </c>
      <c r="AA9" s="108">
        <f t="shared" si="3"/>
        <v>1.4593333333333334</v>
      </c>
      <c r="AB9" s="108">
        <f t="shared" si="3"/>
        <v>1.5326666666666666</v>
      </c>
      <c r="AC9" s="108">
        <f t="shared" si="3"/>
        <v>1.6033333333333333</v>
      </c>
      <c r="AD9" s="108">
        <f t="shared" si="3"/>
        <v>1.6220000000000001</v>
      </c>
      <c r="AE9" s="108"/>
      <c r="AF9" s="108"/>
      <c r="AG9" s="108"/>
      <c r="AH9" s="108"/>
      <c r="AI9" s="4"/>
      <c r="AJ9" s="134"/>
      <c r="AK9" s="134"/>
      <c r="AL9" s="134"/>
      <c r="AM9" s="134"/>
      <c r="AN9" s="4"/>
      <c r="AO9" s="4"/>
    </row>
    <row r="10" spans="1:45" s="218" customFormat="1">
      <c r="A10" s="4"/>
      <c r="B10" s="220"/>
      <c r="C10" s="108">
        <v>81621</v>
      </c>
      <c r="D10" s="108">
        <v>83329</v>
      </c>
      <c r="E10" s="108">
        <v>86044</v>
      </c>
      <c r="F10" s="108">
        <v>88974</v>
      </c>
      <c r="G10" s="108">
        <v>91801</v>
      </c>
      <c r="H10" s="108">
        <v>94444</v>
      </c>
      <c r="I10" s="108">
        <v>96673</v>
      </c>
      <c r="J10" s="108">
        <v>101216</v>
      </c>
      <c r="K10" s="108">
        <v>104860</v>
      </c>
      <c r="L10" s="108">
        <v>107533</v>
      </c>
      <c r="M10" s="108">
        <v>111728</v>
      </c>
      <c r="N10" s="108">
        <v>112792</v>
      </c>
      <c r="O10" s="108">
        <v>114187</v>
      </c>
      <c r="P10" s="108">
        <v>117101</v>
      </c>
      <c r="Q10" s="108">
        <v>120602</v>
      </c>
      <c r="R10" s="108">
        <v>123816</v>
      </c>
      <c r="S10" s="108">
        <v>126244</v>
      </c>
      <c r="T10" s="108">
        <v>129899.005633013</v>
      </c>
      <c r="U10" s="108">
        <v>132091.04912334701</v>
      </c>
      <c r="V10" s="108">
        <v>134695.27055814001</v>
      </c>
      <c r="W10" s="108">
        <v>136001</v>
      </c>
      <c r="X10" s="108">
        <v>136813</v>
      </c>
      <c r="Y10" s="108">
        <v>137579</v>
      </c>
      <c r="Z10" s="108">
        <v>137335</v>
      </c>
      <c r="AA10" s="108">
        <v>138517</v>
      </c>
      <c r="AB10" s="108">
        <v>139881</v>
      </c>
      <c r="AC10" s="108">
        <v>141777</v>
      </c>
      <c r="AD10" s="108">
        <v>143153</v>
      </c>
      <c r="AE10" s="108"/>
      <c r="AF10" s="108"/>
      <c r="AG10" s="108"/>
      <c r="AH10" s="108"/>
      <c r="AI10" s="4"/>
      <c r="AJ10" s="134"/>
      <c r="AK10" s="134"/>
      <c r="AL10" s="134"/>
      <c r="AM10" s="134"/>
      <c r="AN10" s="4"/>
      <c r="AO10" s="4"/>
    </row>
    <row r="11" spans="1:45">
      <c r="A11" s="4"/>
      <c r="B11" s="187" t="s">
        <v>39</v>
      </c>
      <c r="C11" s="108">
        <f t="shared" ref="C11:AD11" si="4">C10/15000</f>
        <v>5.4413999999999998</v>
      </c>
      <c r="D11" s="108">
        <f t="shared" si="4"/>
        <v>5.5552666666666664</v>
      </c>
      <c r="E11" s="108">
        <f t="shared" si="4"/>
        <v>5.7362666666666664</v>
      </c>
      <c r="F11" s="108">
        <f t="shared" si="4"/>
        <v>5.9316000000000004</v>
      </c>
      <c r="G11" s="108">
        <f t="shared" si="4"/>
        <v>6.1200666666666663</v>
      </c>
      <c r="H11" s="108">
        <f t="shared" si="4"/>
        <v>6.2962666666666669</v>
      </c>
      <c r="I11" s="108">
        <f t="shared" si="4"/>
        <v>6.444866666666667</v>
      </c>
      <c r="J11" s="108">
        <f t="shared" si="4"/>
        <v>6.7477333333333336</v>
      </c>
      <c r="K11" s="108">
        <f t="shared" si="4"/>
        <v>6.9906666666666668</v>
      </c>
      <c r="L11" s="108">
        <f t="shared" si="4"/>
        <v>7.1688666666666663</v>
      </c>
      <c r="M11" s="108">
        <f t="shared" si="4"/>
        <v>7.4485333333333337</v>
      </c>
      <c r="N11" s="108">
        <f t="shared" si="4"/>
        <v>7.5194666666666663</v>
      </c>
      <c r="O11" s="108">
        <f t="shared" si="4"/>
        <v>7.6124666666666663</v>
      </c>
      <c r="P11" s="108">
        <f t="shared" si="4"/>
        <v>7.8067333333333337</v>
      </c>
      <c r="Q11" s="108">
        <f t="shared" si="4"/>
        <v>8.0401333333333334</v>
      </c>
      <c r="R11" s="108">
        <f t="shared" si="4"/>
        <v>8.2544000000000004</v>
      </c>
      <c r="S11" s="108">
        <f t="shared" si="4"/>
        <v>8.416266666666667</v>
      </c>
      <c r="T11" s="108">
        <f t="shared" si="4"/>
        <v>8.6599337088675341</v>
      </c>
      <c r="U11" s="108">
        <f t="shared" si="4"/>
        <v>8.8060699415564674</v>
      </c>
      <c r="V11" s="108">
        <f t="shared" si="4"/>
        <v>8.9796847038759999</v>
      </c>
      <c r="W11" s="108">
        <f t="shared" si="4"/>
        <v>9.0667333333333335</v>
      </c>
      <c r="X11" s="108">
        <f t="shared" si="4"/>
        <v>9.1208666666666662</v>
      </c>
      <c r="Y11" s="108">
        <f t="shared" si="4"/>
        <v>9.1719333333333335</v>
      </c>
      <c r="Z11" s="108">
        <f t="shared" si="4"/>
        <v>9.1556666666666668</v>
      </c>
      <c r="AA11" s="108">
        <f t="shared" si="4"/>
        <v>9.2344666666666662</v>
      </c>
      <c r="AB11" s="108">
        <f t="shared" si="4"/>
        <v>9.3254000000000001</v>
      </c>
      <c r="AC11" s="108">
        <f t="shared" si="4"/>
        <v>9.4518000000000004</v>
      </c>
      <c r="AD11" s="108">
        <f t="shared" si="4"/>
        <v>9.5435333333333325</v>
      </c>
      <c r="AE11" s="108"/>
      <c r="AF11" s="108"/>
      <c r="AG11" s="108"/>
      <c r="AH11" s="108"/>
      <c r="AI11" s="4"/>
      <c r="AJ11" s="134"/>
      <c r="AK11" s="134"/>
      <c r="AL11" s="134"/>
      <c r="AM11" s="134"/>
      <c r="AN11" s="4"/>
      <c r="AO11" s="4"/>
    </row>
    <row r="12" spans="1:45" ht="14">
      <c r="A12" s="4"/>
      <c r="B12" s="188"/>
      <c r="C12" s="189">
        <v>95019</v>
      </c>
      <c r="D12" s="189">
        <v>92363</v>
      </c>
      <c r="E12" s="189">
        <v>93177</v>
      </c>
      <c r="F12" s="189">
        <v>93917</v>
      </c>
      <c r="G12" s="189">
        <v>94869</v>
      </c>
      <c r="H12" s="189">
        <v>96059</v>
      </c>
      <c r="I12" s="189">
        <v>96483</v>
      </c>
      <c r="J12" s="189">
        <v>97146</v>
      </c>
      <c r="K12" s="189">
        <v>98091</v>
      </c>
      <c r="L12" s="189">
        <v>99701</v>
      </c>
      <c r="M12" s="189">
        <v>103124</v>
      </c>
      <c r="N12" s="189">
        <v>104245</v>
      </c>
      <c r="O12" s="189">
        <v>105280</v>
      </c>
      <c r="P12" s="189">
        <v>106008</v>
      </c>
      <c r="Q12" s="189">
        <v>106856</v>
      </c>
      <c r="R12" s="190">
        <v>108489</v>
      </c>
      <c r="S12" s="190">
        <v>109456</v>
      </c>
      <c r="T12" s="189">
        <v>110471.27830000001</v>
      </c>
      <c r="U12" s="189">
        <v>111223.85860000001</v>
      </c>
      <c r="V12" s="189">
        <v>112578.8147</v>
      </c>
      <c r="W12" s="190">
        <v>111050</v>
      </c>
      <c r="X12" s="189">
        <v>111147</v>
      </c>
      <c r="Y12" s="190">
        <v>111158</v>
      </c>
      <c r="Z12" s="190">
        <v>110059</v>
      </c>
      <c r="AA12" s="190">
        <v>110262</v>
      </c>
      <c r="AB12" s="191">
        <v>110233</v>
      </c>
      <c r="AC12" s="191">
        <v>111457</v>
      </c>
      <c r="AD12" s="191">
        <v>112462</v>
      </c>
      <c r="AE12" s="108"/>
      <c r="AF12" s="108"/>
      <c r="AG12" s="108"/>
      <c r="AH12" s="108"/>
      <c r="AI12" s="4"/>
      <c r="AJ12" s="134"/>
      <c r="AK12" s="134"/>
      <c r="AL12" s="134"/>
      <c r="AM12" s="134"/>
      <c r="AN12" s="4"/>
      <c r="AO12" s="4"/>
    </row>
    <row r="13" spans="1:45">
      <c r="A13" s="4"/>
      <c r="B13" s="160" t="s">
        <v>40</v>
      </c>
      <c r="C13" s="116">
        <f t="shared" ref="C13:AD13" si="5">C12/15000</f>
        <v>6.3346</v>
      </c>
      <c r="D13" s="116">
        <f t="shared" si="5"/>
        <v>6.1575333333333333</v>
      </c>
      <c r="E13" s="116">
        <f t="shared" si="5"/>
        <v>6.2118000000000002</v>
      </c>
      <c r="F13" s="116">
        <f t="shared" si="5"/>
        <v>6.2611333333333334</v>
      </c>
      <c r="G13" s="116">
        <f t="shared" si="5"/>
        <v>6.3246000000000002</v>
      </c>
      <c r="H13" s="192">
        <f t="shared" si="5"/>
        <v>6.4039333333333337</v>
      </c>
      <c r="I13" s="116">
        <f t="shared" si="5"/>
        <v>6.4321999999999999</v>
      </c>
      <c r="J13" s="116">
        <f t="shared" si="5"/>
        <v>6.4763999999999999</v>
      </c>
      <c r="K13" s="116">
        <f t="shared" si="5"/>
        <v>6.5393999999999997</v>
      </c>
      <c r="L13" s="116">
        <f t="shared" si="5"/>
        <v>6.6467333333333336</v>
      </c>
      <c r="M13" s="116">
        <f t="shared" si="5"/>
        <v>6.8749333333333329</v>
      </c>
      <c r="N13" s="116">
        <f t="shared" si="5"/>
        <v>6.9496666666666664</v>
      </c>
      <c r="O13" s="116">
        <f t="shared" si="5"/>
        <v>7.0186666666666664</v>
      </c>
      <c r="P13" s="116">
        <f t="shared" si="5"/>
        <v>7.0671999999999997</v>
      </c>
      <c r="Q13" s="116">
        <f t="shared" si="5"/>
        <v>7.123733333333333</v>
      </c>
      <c r="R13" s="116">
        <f t="shared" si="5"/>
        <v>7.2325999999999997</v>
      </c>
      <c r="S13" s="116">
        <f t="shared" si="5"/>
        <v>7.2970666666666668</v>
      </c>
      <c r="T13" s="116">
        <f t="shared" si="5"/>
        <v>7.3647518866666672</v>
      </c>
      <c r="U13" s="116">
        <f t="shared" si="5"/>
        <v>7.414923906666667</v>
      </c>
      <c r="V13" s="116">
        <f t="shared" si="5"/>
        <v>7.5052543133333334</v>
      </c>
      <c r="W13" s="116">
        <f t="shared" si="5"/>
        <v>7.4033333333333333</v>
      </c>
      <c r="X13" s="116">
        <f t="shared" si="5"/>
        <v>7.4097999999999997</v>
      </c>
      <c r="Y13" s="116">
        <f t="shared" si="5"/>
        <v>7.4105333333333334</v>
      </c>
      <c r="Z13" s="116">
        <f t="shared" si="5"/>
        <v>7.3372666666666664</v>
      </c>
      <c r="AA13" s="116">
        <f t="shared" si="5"/>
        <v>7.3507999999999996</v>
      </c>
      <c r="AB13" s="116">
        <f t="shared" si="5"/>
        <v>7.3488666666666669</v>
      </c>
      <c r="AC13" s="116">
        <f t="shared" si="5"/>
        <v>7.4304666666666668</v>
      </c>
      <c r="AD13" s="116">
        <f t="shared" si="5"/>
        <v>7.4974666666666669</v>
      </c>
      <c r="AE13" s="108"/>
      <c r="AF13" s="108"/>
      <c r="AG13" s="108"/>
      <c r="AH13" s="108"/>
      <c r="AI13" s="4"/>
      <c r="AJ13" s="134"/>
      <c r="AK13" s="134"/>
      <c r="AL13" s="134"/>
      <c r="AM13" s="134"/>
      <c r="AN13" s="4"/>
      <c r="AO13" s="4"/>
    </row>
    <row r="14" spans="1:45" ht="14">
      <c r="A14" s="4"/>
      <c r="B14" s="188"/>
      <c r="C14" s="189">
        <v>197675</v>
      </c>
      <c r="D14" s="189">
        <v>203547</v>
      </c>
      <c r="E14" s="189">
        <v>205681</v>
      </c>
      <c r="F14" s="189">
        <v>208642</v>
      </c>
      <c r="G14" s="189">
        <v>210642</v>
      </c>
      <c r="H14" s="193">
        <v>213947</v>
      </c>
      <c r="I14" s="189">
        <v>217085</v>
      </c>
      <c r="J14" s="189">
        <v>220417</v>
      </c>
      <c r="K14" s="189">
        <v>223634</v>
      </c>
      <c r="L14" s="189">
        <v>224901</v>
      </c>
      <c r="M14" s="189">
        <v>234138</v>
      </c>
      <c r="N14" s="189">
        <v>234424</v>
      </c>
      <c r="O14" s="189">
        <v>236323</v>
      </c>
      <c r="P14" s="189">
        <v>237796</v>
      </c>
      <c r="Q14" s="189">
        <v>238716</v>
      </c>
      <c r="R14" s="190">
        <v>240867</v>
      </c>
      <c r="S14" s="190">
        <v>241048</v>
      </c>
      <c r="T14" s="189">
        <v>239904.29560000001</v>
      </c>
      <c r="U14" s="189">
        <v>236647.8671</v>
      </c>
      <c r="V14" s="189">
        <v>237556.6042</v>
      </c>
      <c r="W14" s="189">
        <v>244305</v>
      </c>
      <c r="X14" s="189">
        <v>244173</v>
      </c>
      <c r="Y14" s="189">
        <v>245275</v>
      </c>
      <c r="Z14" s="189">
        <v>243058</v>
      </c>
      <c r="AA14" s="190">
        <v>241465</v>
      </c>
      <c r="AB14" s="191">
        <v>238212</v>
      </c>
      <c r="AC14" s="191">
        <v>236670</v>
      </c>
      <c r="AD14" s="191">
        <v>236274</v>
      </c>
      <c r="AE14" s="108"/>
      <c r="AF14" s="108"/>
      <c r="AG14" s="108"/>
      <c r="AH14" s="108"/>
      <c r="AI14" s="4"/>
      <c r="AJ14" s="134"/>
      <c r="AK14" s="134"/>
      <c r="AL14" s="134"/>
      <c r="AM14" s="134"/>
      <c r="AN14" s="4"/>
      <c r="AO14" s="4"/>
    </row>
    <row r="15" spans="1:45">
      <c r="A15" s="4"/>
      <c r="B15" s="160" t="s">
        <v>41</v>
      </c>
      <c r="C15" s="116">
        <f t="shared" ref="C15:AD15" si="6">C14/15000</f>
        <v>13.178333333333333</v>
      </c>
      <c r="D15" s="116">
        <f t="shared" si="6"/>
        <v>13.569800000000001</v>
      </c>
      <c r="E15" s="116">
        <f t="shared" si="6"/>
        <v>13.712066666666667</v>
      </c>
      <c r="F15" s="116">
        <f t="shared" si="6"/>
        <v>13.909466666666667</v>
      </c>
      <c r="G15" s="116">
        <f t="shared" si="6"/>
        <v>14.0428</v>
      </c>
      <c r="H15" s="192">
        <f t="shared" si="6"/>
        <v>14.263133333333334</v>
      </c>
      <c r="I15" s="116">
        <f t="shared" si="6"/>
        <v>14.472333333333333</v>
      </c>
      <c r="J15" s="116">
        <f t="shared" si="6"/>
        <v>14.694466666666667</v>
      </c>
      <c r="K15" s="116">
        <f t="shared" si="6"/>
        <v>14.908933333333334</v>
      </c>
      <c r="L15" s="116">
        <f t="shared" si="6"/>
        <v>14.993399999999999</v>
      </c>
      <c r="M15" s="116">
        <f t="shared" si="6"/>
        <v>15.6092</v>
      </c>
      <c r="N15" s="116">
        <f t="shared" si="6"/>
        <v>15.628266666666667</v>
      </c>
      <c r="O15" s="116">
        <f t="shared" si="6"/>
        <v>15.754866666666667</v>
      </c>
      <c r="P15" s="116">
        <f t="shared" si="6"/>
        <v>15.853066666666667</v>
      </c>
      <c r="Q15" s="116">
        <f t="shared" si="6"/>
        <v>15.914400000000001</v>
      </c>
      <c r="R15" s="116">
        <f t="shared" si="6"/>
        <v>16.0578</v>
      </c>
      <c r="S15" s="116">
        <f t="shared" si="6"/>
        <v>16.069866666666666</v>
      </c>
      <c r="T15" s="116">
        <f t="shared" si="6"/>
        <v>15.993619706666667</v>
      </c>
      <c r="U15" s="116">
        <f t="shared" si="6"/>
        <v>15.776524473333334</v>
      </c>
      <c r="V15" s="116">
        <f t="shared" si="6"/>
        <v>15.837106946666667</v>
      </c>
      <c r="W15" s="116">
        <f t="shared" si="6"/>
        <v>16.286999999999999</v>
      </c>
      <c r="X15" s="116">
        <f t="shared" si="6"/>
        <v>16.278199999999998</v>
      </c>
      <c r="Y15" s="116">
        <f t="shared" si="6"/>
        <v>16.351666666666667</v>
      </c>
      <c r="Z15" s="116">
        <f t="shared" si="6"/>
        <v>16.203866666666666</v>
      </c>
      <c r="AA15" s="116">
        <f t="shared" si="6"/>
        <v>16.097666666666665</v>
      </c>
      <c r="AB15" s="116">
        <f t="shared" si="6"/>
        <v>15.880800000000001</v>
      </c>
      <c r="AC15" s="116">
        <f t="shared" si="6"/>
        <v>15.778</v>
      </c>
      <c r="AD15" s="116">
        <f t="shared" si="6"/>
        <v>15.7516</v>
      </c>
      <c r="AE15" s="108"/>
      <c r="AF15" s="108"/>
      <c r="AG15" s="108"/>
      <c r="AH15" s="108"/>
      <c r="AI15" s="4"/>
      <c r="AJ15" s="134"/>
      <c r="AK15" s="134"/>
      <c r="AL15" s="134"/>
      <c r="AM15" s="134"/>
      <c r="AN15" s="4"/>
      <c r="AO15" s="4"/>
    </row>
    <row r="16" spans="1:45" ht="14">
      <c r="A16" s="4"/>
      <c r="B16" s="194"/>
      <c r="C16" s="116">
        <v>14087</v>
      </c>
      <c r="D16" s="161">
        <v>13963</v>
      </c>
      <c r="E16" s="161">
        <v>13588</v>
      </c>
      <c r="F16" s="161">
        <v>13417</v>
      </c>
      <c r="G16" s="161">
        <v>13224</v>
      </c>
      <c r="H16" s="195">
        <v>12846</v>
      </c>
      <c r="I16" s="161">
        <v>12611</v>
      </c>
      <c r="J16" s="161">
        <v>11897</v>
      </c>
      <c r="K16" s="161">
        <v>11837</v>
      </c>
      <c r="L16" s="161">
        <v>11945</v>
      </c>
      <c r="M16" s="161">
        <v>13060</v>
      </c>
      <c r="N16" s="161">
        <v>13475</v>
      </c>
      <c r="O16" s="161">
        <v>13907</v>
      </c>
      <c r="P16" s="161">
        <v>14407</v>
      </c>
      <c r="Q16" s="196">
        <v>14938</v>
      </c>
      <c r="R16" s="197">
        <v>15098</v>
      </c>
      <c r="S16" s="197">
        <v>15496</v>
      </c>
      <c r="T16" s="196">
        <v>15710.91051</v>
      </c>
      <c r="U16" s="196">
        <v>15957.85411</v>
      </c>
      <c r="V16" s="196">
        <v>16355.75711</v>
      </c>
      <c r="W16" s="198">
        <v>16673</v>
      </c>
      <c r="X16" s="196">
        <v>17068</v>
      </c>
      <c r="Y16" s="196">
        <v>17498</v>
      </c>
      <c r="Z16" s="196">
        <v>17484</v>
      </c>
      <c r="AA16" s="197">
        <v>17884</v>
      </c>
      <c r="AB16" s="198">
        <v>18102</v>
      </c>
      <c r="AC16" s="198">
        <v>19541</v>
      </c>
      <c r="AD16" s="198">
        <v>19352</v>
      </c>
      <c r="AE16" s="108"/>
      <c r="AF16" s="108"/>
      <c r="AG16" s="108"/>
      <c r="AH16" s="108"/>
      <c r="AI16" s="4"/>
      <c r="AJ16" s="134"/>
      <c r="AK16" s="134"/>
      <c r="AL16" s="134"/>
      <c r="AM16" s="134"/>
      <c r="AN16" s="4"/>
      <c r="AO16" s="4"/>
    </row>
    <row r="17" spans="1:43">
      <c r="A17" s="4"/>
      <c r="B17" s="162" t="s">
        <v>42</v>
      </c>
      <c r="C17" s="116">
        <f t="shared" ref="C17:AD17" si="7">C16/15000</f>
        <v>0.93913333333333338</v>
      </c>
      <c r="D17" s="116">
        <f t="shared" si="7"/>
        <v>0.93086666666666662</v>
      </c>
      <c r="E17" s="116">
        <f t="shared" si="7"/>
        <v>0.90586666666666671</v>
      </c>
      <c r="F17" s="116">
        <f t="shared" si="7"/>
        <v>0.89446666666666663</v>
      </c>
      <c r="G17" s="116">
        <f t="shared" si="7"/>
        <v>0.88160000000000005</v>
      </c>
      <c r="H17" s="192">
        <f t="shared" si="7"/>
        <v>0.85640000000000005</v>
      </c>
      <c r="I17" s="116">
        <f t="shared" si="7"/>
        <v>0.84073333333333333</v>
      </c>
      <c r="J17" s="116">
        <f t="shared" si="7"/>
        <v>0.79313333333333336</v>
      </c>
      <c r="K17" s="116">
        <f t="shared" si="7"/>
        <v>0.78913333333333335</v>
      </c>
      <c r="L17" s="116">
        <f t="shared" si="7"/>
        <v>0.79633333333333334</v>
      </c>
      <c r="M17" s="116">
        <f t="shared" si="7"/>
        <v>0.8706666666666667</v>
      </c>
      <c r="N17" s="116">
        <f t="shared" si="7"/>
        <v>0.89833333333333332</v>
      </c>
      <c r="O17" s="116">
        <f t="shared" si="7"/>
        <v>0.92713333333333336</v>
      </c>
      <c r="P17" s="116">
        <f t="shared" si="7"/>
        <v>0.96046666666666669</v>
      </c>
      <c r="Q17" s="116">
        <f t="shared" si="7"/>
        <v>0.99586666666666668</v>
      </c>
      <c r="R17" s="116">
        <f t="shared" si="7"/>
        <v>1.0065333333333333</v>
      </c>
      <c r="S17" s="116">
        <f t="shared" si="7"/>
        <v>1.0330666666666666</v>
      </c>
      <c r="T17" s="116">
        <f t="shared" si="7"/>
        <v>1.0473940340000001</v>
      </c>
      <c r="U17" s="116">
        <f t="shared" si="7"/>
        <v>1.0638569406666667</v>
      </c>
      <c r="V17" s="116">
        <f t="shared" si="7"/>
        <v>1.0903838073333334</v>
      </c>
      <c r="W17" s="116">
        <f t="shared" si="7"/>
        <v>1.1115333333333333</v>
      </c>
      <c r="X17" s="116">
        <f t="shared" si="7"/>
        <v>1.1378666666666666</v>
      </c>
      <c r="Y17" s="116">
        <f t="shared" si="7"/>
        <v>1.1665333333333334</v>
      </c>
      <c r="Z17" s="116">
        <f t="shared" si="7"/>
        <v>1.1656</v>
      </c>
      <c r="AA17" s="116">
        <f t="shared" si="7"/>
        <v>1.1922666666666666</v>
      </c>
      <c r="AB17" s="116">
        <f t="shared" si="7"/>
        <v>1.2068000000000001</v>
      </c>
      <c r="AC17" s="116">
        <f t="shared" si="7"/>
        <v>1.3027333333333333</v>
      </c>
      <c r="AD17" s="116">
        <f t="shared" si="7"/>
        <v>1.2901333333333334</v>
      </c>
      <c r="AE17" s="108"/>
      <c r="AF17" s="108"/>
      <c r="AG17" s="108"/>
      <c r="AH17" s="108"/>
      <c r="AI17" s="4"/>
      <c r="AJ17" s="134"/>
      <c r="AK17" s="134"/>
      <c r="AL17" s="134"/>
      <c r="AM17" s="134"/>
      <c r="AN17" s="4"/>
      <c r="AO17" s="4"/>
    </row>
    <row r="18" spans="1:43">
      <c r="A18" s="4"/>
      <c r="B18" s="199"/>
      <c r="C18" s="200"/>
      <c r="D18" s="201"/>
      <c r="E18" s="202"/>
      <c r="F18" s="116"/>
      <c r="G18" s="116"/>
      <c r="H18" s="201"/>
      <c r="I18" s="202"/>
      <c r="J18" s="116"/>
      <c r="K18" s="116"/>
      <c r="L18" s="116"/>
      <c r="M18" s="201">
        <v>6130</v>
      </c>
      <c r="N18" s="201"/>
      <c r="O18" s="202">
        <v>6810</v>
      </c>
      <c r="P18" s="116">
        <v>7240</v>
      </c>
      <c r="Q18" s="116">
        <v>7800</v>
      </c>
      <c r="R18" s="116">
        <v>7990</v>
      </c>
      <c r="S18" s="116">
        <v>8240</v>
      </c>
      <c r="T18" s="116">
        <v>8410</v>
      </c>
      <c r="U18" s="116">
        <v>8590</v>
      </c>
      <c r="V18" s="116">
        <f>AVERAGE(U18,W18)</f>
        <v>7855</v>
      </c>
      <c r="W18" s="116">
        <v>7120</v>
      </c>
      <c r="X18" s="116">
        <v>8200</v>
      </c>
      <c r="Y18" s="116">
        <v>8220</v>
      </c>
      <c r="Z18" s="116">
        <v>8240</v>
      </c>
      <c r="AA18" s="116">
        <v>8580</v>
      </c>
      <c r="AB18" s="116">
        <v>8560</v>
      </c>
      <c r="AC18" s="116">
        <v>8810</v>
      </c>
      <c r="AD18" s="116">
        <v>9970</v>
      </c>
      <c r="AE18" s="116"/>
      <c r="AF18" s="116"/>
      <c r="AG18" s="116"/>
      <c r="AH18" s="108"/>
      <c r="AI18" s="4"/>
      <c r="AJ18" s="134"/>
      <c r="AK18" s="134"/>
      <c r="AL18" s="134"/>
      <c r="AM18" s="134"/>
      <c r="AN18" s="4"/>
      <c r="AO18" s="4"/>
    </row>
    <row r="19" spans="1:43">
      <c r="A19" s="4"/>
      <c r="B19" s="162" t="s">
        <v>67</v>
      </c>
      <c r="C19" s="200"/>
      <c r="D19" s="201"/>
      <c r="E19" s="202"/>
      <c r="F19" s="116"/>
      <c r="G19" s="116"/>
      <c r="H19" s="201"/>
      <c r="I19" s="202"/>
      <c r="J19" s="116"/>
      <c r="K19" s="116"/>
      <c r="L19" s="116"/>
      <c r="M19" s="116">
        <f>M18/15000</f>
        <v>0.40866666666666668</v>
      </c>
      <c r="N19" s="116"/>
      <c r="O19" s="116">
        <f t="shared" ref="O19:AD19" si="8">O18/15000</f>
        <v>0.45400000000000001</v>
      </c>
      <c r="P19" s="116">
        <f t="shared" si="8"/>
        <v>0.48266666666666669</v>
      </c>
      <c r="Q19" s="116">
        <f t="shared" si="8"/>
        <v>0.52</v>
      </c>
      <c r="R19" s="116">
        <f t="shared" si="8"/>
        <v>0.53266666666666662</v>
      </c>
      <c r="S19" s="116">
        <f t="shared" si="8"/>
        <v>0.54933333333333334</v>
      </c>
      <c r="T19" s="116">
        <f t="shared" si="8"/>
        <v>0.56066666666666665</v>
      </c>
      <c r="U19" s="116">
        <f t="shared" si="8"/>
        <v>0.57266666666666666</v>
      </c>
      <c r="V19" s="116">
        <f t="shared" si="8"/>
        <v>0.52366666666666661</v>
      </c>
      <c r="W19" s="116">
        <f t="shared" si="8"/>
        <v>0.47466666666666668</v>
      </c>
      <c r="X19" s="116">
        <f t="shared" si="8"/>
        <v>0.54666666666666663</v>
      </c>
      <c r="Y19" s="116">
        <f t="shared" si="8"/>
        <v>0.54800000000000004</v>
      </c>
      <c r="Z19" s="116">
        <f t="shared" si="8"/>
        <v>0.54933333333333334</v>
      </c>
      <c r="AA19" s="116">
        <f t="shared" si="8"/>
        <v>0.57199999999999995</v>
      </c>
      <c r="AB19" s="116">
        <f t="shared" si="8"/>
        <v>0.57066666666666666</v>
      </c>
      <c r="AC19" s="116">
        <f t="shared" si="8"/>
        <v>0.58733333333333337</v>
      </c>
      <c r="AD19" s="116">
        <f t="shared" si="8"/>
        <v>0.66466666666666663</v>
      </c>
      <c r="AE19" s="116"/>
      <c r="AF19" s="116"/>
      <c r="AG19" s="116"/>
      <c r="AH19" s="108"/>
      <c r="AI19" s="4"/>
      <c r="AJ19" s="134"/>
      <c r="AK19" s="134"/>
      <c r="AL19" s="134"/>
      <c r="AM19" s="134"/>
      <c r="AN19" s="4"/>
      <c r="AO19" s="4"/>
    </row>
    <row r="20" spans="1:43">
      <c r="A20" s="4"/>
      <c r="B20" s="203"/>
      <c r="C20" s="125">
        <v>51019.82</v>
      </c>
      <c r="D20" s="164">
        <v>50531.95</v>
      </c>
      <c r="E20" s="165">
        <v>51462.34</v>
      </c>
      <c r="F20" s="166">
        <v>52701.15</v>
      </c>
      <c r="G20" s="166">
        <v>55977.24</v>
      </c>
      <c r="H20" s="164">
        <v>53115.86</v>
      </c>
      <c r="I20" s="165">
        <v>55697.25</v>
      </c>
      <c r="J20" s="166">
        <v>58049.9</v>
      </c>
      <c r="K20" s="166">
        <v>59381.73</v>
      </c>
      <c r="L20" s="166">
        <v>59644.480000000003</v>
      </c>
      <c r="M20" s="164">
        <v>62166.43</v>
      </c>
      <c r="N20" s="164">
        <v>62739.29</v>
      </c>
      <c r="O20" s="165">
        <v>64556.160000000003</v>
      </c>
      <c r="P20" s="166">
        <v>66789</v>
      </c>
      <c r="Q20" s="166">
        <v>69393.36</v>
      </c>
      <c r="R20" s="166">
        <v>72033.440000000002</v>
      </c>
      <c r="S20" s="166">
        <v>74480</v>
      </c>
      <c r="T20" s="166">
        <v>75020</v>
      </c>
      <c r="U20" s="166">
        <v>75600</v>
      </c>
      <c r="V20" s="166">
        <v>77024.241781293997</v>
      </c>
      <c r="W20" s="166">
        <v>78504.58</v>
      </c>
      <c r="X20" s="166">
        <v>80073.67</v>
      </c>
      <c r="Y20" s="166">
        <v>79965.981008650997</v>
      </c>
      <c r="Z20" s="166">
        <v>80940</v>
      </c>
      <c r="AA20" s="204">
        <v>82530.27</v>
      </c>
      <c r="AB20" s="204">
        <v>83468.009999999995</v>
      </c>
      <c r="AC20" s="204">
        <v>84541.57</v>
      </c>
      <c r="AD20" s="204">
        <v>87485.03</v>
      </c>
      <c r="AE20" s="108"/>
      <c r="AF20" s="108"/>
      <c r="AG20" s="108"/>
      <c r="AH20" s="108"/>
      <c r="AI20" s="4"/>
      <c r="AJ20" s="134"/>
      <c r="AK20" s="134"/>
      <c r="AL20" s="134"/>
      <c r="AM20" s="134"/>
      <c r="AN20" s="4"/>
      <c r="AO20" s="4"/>
    </row>
    <row r="21" spans="1:43">
      <c r="A21" s="4"/>
      <c r="B21" s="163" t="s">
        <v>43</v>
      </c>
      <c r="C21" s="205">
        <f t="shared" ref="C21:AD21" si="9">C20/15000</f>
        <v>3.4013213333333332</v>
      </c>
      <c r="D21" s="205">
        <f t="shared" si="9"/>
        <v>3.3687966666666664</v>
      </c>
      <c r="E21" s="205">
        <f t="shared" si="9"/>
        <v>3.4308226666666664</v>
      </c>
      <c r="F21" s="205">
        <f t="shared" si="9"/>
        <v>3.5134099999999999</v>
      </c>
      <c r="G21" s="205">
        <f t="shared" si="9"/>
        <v>3.7318159999999998</v>
      </c>
      <c r="H21" s="205">
        <f t="shared" si="9"/>
        <v>3.5410573333333333</v>
      </c>
      <c r="I21" s="205">
        <f t="shared" si="9"/>
        <v>3.7131500000000002</v>
      </c>
      <c r="J21" s="205">
        <f t="shared" si="9"/>
        <v>3.8699933333333334</v>
      </c>
      <c r="K21" s="205">
        <f t="shared" si="9"/>
        <v>3.9587820000000002</v>
      </c>
      <c r="L21" s="205">
        <f t="shared" si="9"/>
        <v>3.9762986666666671</v>
      </c>
      <c r="M21" s="205">
        <f t="shared" si="9"/>
        <v>4.1444286666666663</v>
      </c>
      <c r="N21" s="205">
        <f t="shared" si="9"/>
        <v>4.1826193333333332</v>
      </c>
      <c r="O21" s="205">
        <f t="shared" si="9"/>
        <v>4.303744</v>
      </c>
      <c r="P21" s="205">
        <f t="shared" si="9"/>
        <v>4.4526000000000003</v>
      </c>
      <c r="Q21" s="205">
        <f t="shared" si="9"/>
        <v>4.6262239999999997</v>
      </c>
      <c r="R21" s="125">
        <f t="shared" si="9"/>
        <v>4.8022293333333339</v>
      </c>
      <c r="S21" s="125">
        <f t="shared" si="9"/>
        <v>4.9653333333333336</v>
      </c>
      <c r="T21" s="205">
        <f t="shared" si="9"/>
        <v>5.0013333333333332</v>
      </c>
      <c r="U21" s="205">
        <f t="shared" si="9"/>
        <v>5.04</v>
      </c>
      <c r="V21" s="125">
        <f t="shared" si="9"/>
        <v>5.1349494520862669</v>
      </c>
      <c r="W21" s="125">
        <f t="shared" si="9"/>
        <v>5.2336386666666668</v>
      </c>
      <c r="X21" s="125">
        <f t="shared" si="9"/>
        <v>5.3382446666666663</v>
      </c>
      <c r="Y21" s="125">
        <f t="shared" si="9"/>
        <v>5.3310654005767333</v>
      </c>
      <c r="Z21" s="125">
        <f t="shared" si="9"/>
        <v>5.3959999999999999</v>
      </c>
      <c r="AA21" s="125">
        <f t="shared" si="9"/>
        <v>5.5020180000000005</v>
      </c>
      <c r="AB21" s="125">
        <f t="shared" si="9"/>
        <v>5.5645340000000001</v>
      </c>
      <c r="AC21" s="125">
        <f t="shared" si="9"/>
        <v>5.6361046666666672</v>
      </c>
      <c r="AD21" s="125">
        <f t="shared" si="9"/>
        <v>5.832335333333333</v>
      </c>
      <c r="AE21" s="108"/>
      <c r="AF21" s="108"/>
      <c r="AG21" s="125"/>
      <c r="AH21" s="108"/>
      <c r="AI21" s="4"/>
      <c r="AJ21" s="134"/>
      <c r="AK21" s="134"/>
      <c r="AL21" s="134"/>
      <c r="AM21" s="134"/>
      <c r="AN21" s="4"/>
      <c r="AO21" s="4"/>
    </row>
    <row r="22" spans="1:43">
      <c r="A22" s="4"/>
      <c r="B22" s="167" t="s">
        <v>71</v>
      </c>
      <c r="C22" s="206">
        <f t="shared" ref="C22:AD22" si="10">C5+C7+C11+C13+C15+C17+C21</f>
        <v>83.167187999999982</v>
      </c>
      <c r="D22" s="206">
        <f t="shared" si="10"/>
        <v>83.515529999999998</v>
      </c>
      <c r="E22" s="206">
        <f t="shared" si="10"/>
        <v>84.134956000000003</v>
      </c>
      <c r="F22" s="206">
        <f t="shared" si="10"/>
        <v>84.668476666666677</v>
      </c>
      <c r="G22" s="206">
        <f t="shared" si="10"/>
        <v>85.404215999999991</v>
      </c>
      <c r="H22" s="206">
        <f t="shared" si="10"/>
        <v>85.135123999999976</v>
      </c>
      <c r="I22" s="206">
        <f t="shared" si="10"/>
        <v>86.078416666666669</v>
      </c>
      <c r="J22" s="206">
        <f t="shared" si="10"/>
        <v>86.932126666666676</v>
      </c>
      <c r="K22" s="206">
        <f t="shared" si="10"/>
        <v>87.883315333333343</v>
      </c>
      <c r="L22" s="206">
        <f t="shared" si="10"/>
        <v>88.948165333333336</v>
      </c>
      <c r="M22" s="206">
        <f t="shared" si="10"/>
        <v>91.003628666666671</v>
      </c>
      <c r="N22" s="206">
        <f t="shared" si="10"/>
        <v>91.377619333333328</v>
      </c>
      <c r="O22" s="206">
        <f t="shared" si="10"/>
        <v>92.133077333333333</v>
      </c>
      <c r="P22" s="206">
        <f t="shared" si="10"/>
        <v>92.849199999999982</v>
      </c>
      <c r="Q22" s="206">
        <f t="shared" si="10"/>
        <v>93.955357333333339</v>
      </c>
      <c r="R22" s="206">
        <f t="shared" si="10"/>
        <v>95.083562666666666</v>
      </c>
      <c r="S22" s="206">
        <f t="shared" si="10"/>
        <v>96.128200000000007</v>
      </c>
      <c r="T22" s="207">
        <f t="shared" si="10"/>
        <v>96.911897230400683</v>
      </c>
      <c r="U22" s="207">
        <f t="shared" si="10"/>
        <v>97.505233875502014</v>
      </c>
      <c r="V22" s="207">
        <f t="shared" si="10"/>
        <v>98.28390161114541</v>
      </c>
      <c r="W22" s="207">
        <f t="shared" si="10"/>
        <v>98.75468661384167</v>
      </c>
      <c r="X22" s="207">
        <f t="shared" si="10"/>
        <v>99.228657798214215</v>
      </c>
      <c r="Y22" s="207">
        <f t="shared" si="10"/>
        <v>99.702865400576727</v>
      </c>
      <c r="Z22" s="207">
        <f t="shared" si="10"/>
        <v>99.59193333333333</v>
      </c>
      <c r="AA22" s="208">
        <f t="shared" si="10"/>
        <v>100.17121800000001</v>
      </c>
      <c r="AB22" s="208">
        <f t="shared" si="10"/>
        <v>100.50840066666666</v>
      </c>
      <c r="AC22" s="208">
        <f t="shared" si="10"/>
        <v>101.16363800000001</v>
      </c>
      <c r="AD22" s="208">
        <f t="shared" si="10"/>
        <v>101.81006866666665</v>
      </c>
      <c r="AE22" s="208"/>
      <c r="AF22" s="208"/>
      <c r="AG22" s="208"/>
      <c r="AH22" s="208"/>
      <c r="AI22" s="4"/>
      <c r="AJ22" s="134"/>
      <c r="AK22" s="134"/>
      <c r="AL22" s="134"/>
      <c r="AM22" s="134"/>
      <c r="AN22" s="4"/>
      <c r="AO22" s="4"/>
    </row>
    <row r="23" spans="1:43">
      <c r="A23" s="4"/>
      <c r="B23" s="209" t="s">
        <v>14</v>
      </c>
      <c r="C23" s="144">
        <f t="shared" ref="C23:AD23" si="11">C7+C9+C11+C17+C19+C21</f>
        <v>55.683521333333331</v>
      </c>
      <c r="D23" s="144">
        <f t="shared" si="11"/>
        <v>55.610263333333336</v>
      </c>
      <c r="E23" s="144">
        <f t="shared" si="11"/>
        <v>55.951489333333328</v>
      </c>
      <c r="F23" s="144">
        <f t="shared" si="11"/>
        <v>56.147076666666671</v>
      </c>
      <c r="G23" s="144">
        <f t="shared" si="11"/>
        <v>56.681415999999999</v>
      </c>
      <c r="H23" s="144">
        <f t="shared" si="11"/>
        <v>56.121724</v>
      </c>
      <c r="I23" s="144">
        <f t="shared" si="11"/>
        <v>56.745216666666671</v>
      </c>
      <c r="J23" s="144">
        <f t="shared" si="11"/>
        <v>57.286993333333335</v>
      </c>
      <c r="K23" s="144">
        <f t="shared" si="11"/>
        <v>57.846648666666667</v>
      </c>
      <c r="L23" s="144">
        <f t="shared" si="11"/>
        <v>58.546698666666671</v>
      </c>
      <c r="M23" s="144">
        <f t="shared" si="11"/>
        <v>59.941895333333335</v>
      </c>
      <c r="N23" s="144">
        <f t="shared" si="11"/>
        <v>59.741352666666671</v>
      </c>
      <c r="O23" s="144">
        <f t="shared" si="11"/>
        <v>60.764477333333332</v>
      </c>
      <c r="P23" s="144">
        <f t="shared" si="11"/>
        <v>62.713533333333331</v>
      </c>
      <c r="Q23" s="144">
        <f t="shared" si="11"/>
        <v>63.601223999999995</v>
      </c>
      <c r="R23" s="144">
        <f t="shared" si="11"/>
        <v>64.501295999999982</v>
      </c>
      <c r="S23" s="144">
        <f t="shared" si="11"/>
        <v>65.443733333333341</v>
      </c>
      <c r="T23" s="144">
        <f t="shared" si="11"/>
        <v>66.210867795849737</v>
      </c>
      <c r="U23" s="144">
        <f t="shared" si="11"/>
        <v>66.841650105445396</v>
      </c>
      <c r="V23" s="144">
        <f t="shared" si="11"/>
        <v>67.470393893519457</v>
      </c>
      <c r="W23" s="144">
        <f t="shared" si="11"/>
        <v>67.607976093577392</v>
      </c>
      <c r="X23" s="144">
        <f t="shared" si="11"/>
        <v>68.105403856573929</v>
      </c>
      <c r="Y23" s="210">
        <f t="shared" si="11"/>
        <v>68.479198733910067</v>
      </c>
      <c r="Z23" s="210">
        <f t="shared" si="11"/>
        <v>68.572800000000001</v>
      </c>
      <c r="AA23" s="210">
        <f t="shared" si="11"/>
        <v>69.239151333333339</v>
      </c>
      <c r="AB23" s="210">
        <f t="shared" si="11"/>
        <v>69.847000666666659</v>
      </c>
      <c r="AC23" s="210">
        <f t="shared" si="11"/>
        <v>70.694971333333328</v>
      </c>
      <c r="AD23" s="210">
        <f t="shared" si="11"/>
        <v>71.48733533333332</v>
      </c>
      <c r="AE23" s="210"/>
      <c r="AF23" s="210"/>
      <c r="AG23" s="210"/>
      <c r="AH23" s="210"/>
      <c r="AI23" s="4"/>
      <c r="AJ23" s="134"/>
      <c r="AK23" s="134"/>
      <c r="AL23" s="134"/>
      <c r="AM23" s="134"/>
      <c r="AN23" s="4"/>
      <c r="AO23" s="4"/>
    </row>
    <row r="24" spans="1:43">
      <c r="A24" s="4"/>
      <c r="B24" s="168" t="s">
        <v>44</v>
      </c>
      <c r="C24" s="144">
        <f t="shared" ref="C24:AD24" si="12">C17+C19+C21</f>
        <v>4.3404546666666661</v>
      </c>
      <c r="D24" s="144">
        <f t="shared" si="12"/>
        <v>4.2996633333333332</v>
      </c>
      <c r="E24" s="144">
        <f t="shared" si="12"/>
        <v>4.3366893333333332</v>
      </c>
      <c r="F24" s="144">
        <f t="shared" si="12"/>
        <v>4.4078766666666667</v>
      </c>
      <c r="G24" s="144">
        <f t="shared" si="12"/>
        <v>4.613416</v>
      </c>
      <c r="H24" s="144">
        <f t="shared" si="12"/>
        <v>4.3974573333333336</v>
      </c>
      <c r="I24" s="144">
        <f t="shared" si="12"/>
        <v>4.5538833333333333</v>
      </c>
      <c r="J24" s="144">
        <f t="shared" si="12"/>
        <v>4.6631266666666669</v>
      </c>
      <c r="K24" s="144">
        <f t="shared" si="12"/>
        <v>4.7479153333333333</v>
      </c>
      <c r="L24" s="144">
        <f t="shared" si="12"/>
        <v>4.7726320000000007</v>
      </c>
      <c r="M24" s="144">
        <f t="shared" si="12"/>
        <v>5.423762</v>
      </c>
      <c r="N24" s="144">
        <f t="shared" si="12"/>
        <v>5.0809526666666667</v>
      </c>
      <c r="O24" s="144">
        <f t="shared" si="12"/>
        <v>5.6848773333333336</v>
      </c>
      <c r="P24" s="144">
        <f t="shared" si="12"/>
        <v>5.8957333333333342</v>
      </c>
      <c r="Q24" s="144">
        <f t="shared" si="12"/>
        <v>6.1420906666666664</v>
      </c>
      <c r="R24" s="144">
        <f t="shared" si="12"/>
        <v>6.341429333333334</v>
      </c>
      <c r="S24" s="144">
        <f t="shared" si="12"/>
        <v>6.5477333333333334</v>
      </c>
      <c r="T24" s="144">
        <f t="shared" si="12"/>
        <v>6.6093940340000001</v>
      </c>
      <c r="U24" s="144">
        <f t="shared" si="12"/>
        <v>6.6765236073333334</v>
      </c>
      <c r="V24" s="144">
        <f t="shared" si="12"/>
        <v>6.7489999260862668</v>
      </c>
      <c r="W24" s="144">
        <f t="shared" si="12"/>
        <v>6.8198386666666666</v>
      </c>
      <c r="X24" s="144">
        <f t="shared" si="12"/>
        <v>7.0227779999999997</v>
      </c>
      <c r="Y24" s="210">
        <f t="shared" si="12"/>
        <v>7.045598733910067</v>
      </c>
      <c r="Z24" s="210">
        <f t="shared" si="12"/>
        <v>7.1109333333333336</v>
      </c>
      <c r="AA24" s="210">
        <f t="shared" si="12"/>
        <v>7.2662846666666674</v>
      </c>
      <c r="AB24" s="210">
        <f t="shared" si="12"/>
        <v>7.3420006666666673</v>
      </c>
      <c r="AC24" s="210">
        <f t="shared" si="12"/>
        <v>7.526171333333334</v>
      </c>
      <c r="AD24" s="210">
        <f t="shared" si="12"/>
        <v>7.7871353333333335</v>
      </c>
      <c r="AE24" s="210"/>
      <c r="AF24" s="210"/>
      <c r="AG24" s="210"/>
      <c r="AH24" s="210"/>
      <c r="AI24" s="4"/>
      <c r="AJ24" s="134"/>
      <c r="AK24" s="134"/>
      <c r="AL24" s="134"/>
      <c r="AM24" s="134"/>
      <c r="AN24" s="4"/>
      <c r="AO24" s="4"/>
    </row>
    <row r="25" spans="1:43">
      <c r="A25" s="4"/>
      <c r="B25" s="174"/>
      <c r="C25" s="211"/>
      <c r="D25" s="212"/>
      <c r="E25" s="212"/>
      <c r="F25" s="150"/>
      <c r="G25" s="150"/>
      <c r="H25" s="213"/>
      <c r="I25" s="213"/>
      <c r="J25" s="214"/>
      <c r="K25" s="215"/>
      <c r="L25" s="215"/>
      <c r="M25" s="216"/>
      <c r="N25" s="217"/>
      <c r="O25" s="172"/>
      <c r="P25" s="4"/>
      <c r="Q25" s="4"/>
      <c r="R25" s="4"/>
      <c r="S25" s="4"/>
      <c r="T25" s="4"/>
      <c r="U25" s="4"/>
      <c r="V25" s="4"/>
      <c r="W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134"/>
      <c r="AM25" s="134"/>
      <c r="AN25" s="134"/>
      <c r="AO25" s="134"/>
      <c r="AP25" s="4"/>
      <c r="AQ25" s="4"/>
    </row>
    <row r="26" spans="1:43">
      <c r="A26" s="4"/>
      <c r="B26" s="4"/>
      <c r="C26" s="4"/>
      <c r="D26" s="4"/>
      <c r="E26" s="4"/>
      <c r="F26" s="4"/>
      <c r="G26" s="4"/>
      <c r="H26" s="4"/>
      <c r="I26" s="4"/>
      <c r="J26" s="30"/>
      <c r="K26" s="30"/>
      <c r="L26" s="30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</row>
    <row r="27" spans="1:43">
      <c r="A27" s="4"/>
      <c r="B27" s="4"/>
      <c r="C27" s="4"/>
      <c r="D27" s="4"/>
      <c r="E27" s="4"/>
      <c r="F27" s="4"/>
      <c r="G27" s="4"/>
      <c r="H27" s="4"/>
      <c r="I27" s="4"/>
      <c r="J27" s="30"/>
      <c r="K27" s="30"/>
      <c r="L27" s="30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</row>
    <row r="28" spans="1:43">
      <c r="A28" s="4"/>
      <c r="B28" s="4"/>
      <c r="C28" s="4"/>
      <c r="D28" s="4"/>
      <c r="E28" s="4"/>
      <c r="F28" s="4"/>
      <c r="G28" s="4"/>
      <c r="H28" s="4"/>
      <c r="I28" s="4"/>
      <c r="J28" s="30"/>
      <c r="K28" s="30"/>
      <c r="L28" s="30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</row>
    <row r="29" spans="1:43">
      <c r="A29" s="4"/>
      <c r="B29" s="4"/>
      <c r="C29" s="4"/>
      <c r="D29" s="4"/>
      <c r="E29" s="4"/>
      <c r="F29" s="4"/>
      <c r="G29" s="4"/>
      <c r="H29" s="4"/>
      <c r="I29" s="4"/>
      <c r="J29" s="30"/>
      <c r="K29" s="30"/>
      <c r="L29" s="30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</row>
    <row r="30" spans="1:43">
      <c r="A30" s="4"/>
      <c r="B30" s="4"/>
      <c r="C30" s="4"/>
      <c r="D30" s="4"/>
      <c r="E30" s="4"/>
      <c r="F30" s="4"/>
      <c r="G30" s="4"/>
      <c r="H30" s="4"/>
      <c r="I30" s="4"/>
      <c r="J30" s="30"/>
      <c r="K30" s="30"/>
      <c r="L30" s="30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</row>
    <row r="31" spans="1:43">
      <c r="A31" s="4"/>
      <c r="B31" s="4"/>
      <c r="C31" s="4"/>
      <c r="D31" s="4"/>
      <c r="E31" s="4"/>
      <c r="F31" s="4"/>
      <c r="G31" s="4"/>
      <c r="H31" s="4"/>
      <c r="I31" s="4"/>
      <c r="J31" s="30"/>
      <c r="K31" s="30"/>
      <c r="L31" s="30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</row>
    <row r="32" spans="1:43">
      <c r="A32" s="4"/>
      <c r="B32" s="4"/>
      <c r="C32" s="4"/>
      <c r="D32" s="4"/>
      <c r="E32" s="4"/>
      <c r="F32" s="4"/>
      <c r="G32" s="4"/>
      <c r="H32" s="4"/>
      <c r="I32" s="4"/>
      <c r="J32" s="30"/>
      <c r="K32" s="30"/>
      <c r="L32" s="30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</row>
    <row r="33" spans="1:42">
      <c r="A33" s="4"/>
      <c r="B33" s="4"/>
      <c r="C33" s="4"/>
      <c r="D33" s="4"/>
      <c r="E33" s="4"/>
      <c r="F33" s="4"/>
      <c r="G33" s="4"/>
      <c r="H33" s="4"/>
      <c r="I33" s="4"/>
      <c r="J33" s="30"/>
      <c r="K33" s="30"/>
      <c r="L33" s="30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</row>
    <row r="34" spans="1:42">
      <c r="A34" s="4"/>
      <c r="B34" s="4"/>
      <c r="C34" s="4"/>
      <c r="D34" s="4"/>
      <c r="E34" s="4"/>
      <c r="F34" s="4"/>
      <c r="G34" s="4"/>
      <c r="H34" s="4"/>
      <c r="I34" s="4"/>
      <c r="J34" s="30"/>
      <c r="K34" s="30"/>
      <c r="L34" s="30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</row>
    <row r="35" spans="1:42">
      <c r="A35" s="4"/>
      <c r="B35" s="4"/>
      <c r="C35" s="4"/>
      <c r="D35" s="4"/>
      <c r="E35" s="4"/>
      <c r="F35" s="4"/>
      <c r="G35" s="4"/>
      <c r="H35" s="4"/>
      <c r="I35" s="4"/>
      <c r="J35" s="30"/>
      <c r="K35" s="30"/>
      <c r="L35" s="30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</row>
    <row r="36" spans="1:42">
      <c r="A36" s="4"/>
      <c r="B36" s="4"/>
      <c r="C36" s="4"/>
      <c r="D36" s="4"/>
      <c r="E36" s="4"/>
      <c r="F36" s="4"/>
      <c r="G36" s="4"/>
      <c r="H36" s="4"/>
      <c r="I36" s="4"/>
      <c r="J36" s="30"/>
      <c r="K36" s="30"/>
      <c r="L36" s="30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</row>
    <row r="37" spans="1:42">
      <c r="A37" s="4"/>
      <c r="B37" s="4"/>
      <c r="C37" s="4"/>
      <c r="D37" s="4"/>
      <c r="E37" s="4"/>
      <c r="F37" s="4"/>
      <c r="G37" s="4"/>
      <c r="H37" s="4"/>
      <c r="I37" s="4"/>
      <c r="J37" s="30"/>
      <c r="K37" s="30"/>
      <c r="L37" s="30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</row>
    <row r="38" spans="1:42">
      <c r="A38" s="4"/>
      <c r="B38" s="4"/>
      <c r="C38" s="4"/>
      <c r="D38" s="4"/>
      <c r="E38" s="4"/>
      <c r="F38" s="4"/>
      <c r="G38" s="4"/>
      <c r="H38" s="4"/>
      <c r="I38" s="4"/>
      <c r="J38" s="30"/>
      <c r="K38" s="30"/>
      <c r="L38" s="30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</row>
    <row r="39" spans="1:42">
      <c r="A39" s="4"/>
      <c r="B39" s="4"/>
      <c r="C39" s="4"/>
      <c r="D39" s="4"/>
      <c r="E39" s="4"/>
      <c r="F39" s="4"/>
      <c r="G39" s="4"/>
      <c r="H39" s="4"/>
      <c r="I39" s="4"/>
      <c r="J39" s="30"/>
      <c r="K39" s="30"/>
      <c r="L39" s="30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</row>
    <row r="40" spans="1:42">
      <c r="A40" s="4"/>
      <c r="B40" s="4"/>
      <c r="C40" s="4"/>
      <c r="D40" s="4"/>
      <c r="E40" s="4"/>
      <c r="F40" s="4"/>
      <c r="G40" s="4"/>
      <c r="H40" s="4"/>
      <c r="I40" s="4"/>
      <c r="J40" s="30"/>
      <c r="K40" s="30"/>
      <c r="L40" s="30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</row>
    <row r="41" spans="1:42">
      <c r="A41" s="4"/>
      <c r="B41" s="4"/>
      <c r="C41" s="4"/>
      <c r="D41" s="4"/>
      <c r="E41" s="4"/>
      <c r="F41" s="4"/>
      <c r="G41" s="4"/>
      <c r="H41" s="4"/>
      <c r="I41" s="4"/>
      <c r="J41" s="30"/>
      <c r="K41" s="30"/>
      <c r="L41" s="30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</row>
    <row r="42" spans="1:42">
      <c r="A42" s="4"/>
      <c r="B42" s="4"/>
      <c r="C42" s="4"/>
      <c r="D42" s="4"/>
      <c r="E42" s="4"/>
      <c r="F42" s="4"/>
      <c r="G42" s="4"/>
      <c r="H42" s="4"/>
      <c r="I42" s="4"/>
      <c r="J42" s="30"/>
      <c r="K42" s="30"/>
      <c r="L42" s="30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</row>
    <row r="43" spans="1:42">
      <c r="A43" s="4"/>
      <c r="B43" s="4"/>
      <c r="C43" s="4"/>
      <c r="D43" s="4"/>
      <c r="E43" s="4"/>
      <c r="F43" s="4"/>
      <c r="G43" s="4"/>
      <c r="H43" s="4"/>
      <c r="I43" s="4"/>
      <c r="J43" s="30"/>
      <c r="K43" s="30"/>
      <c r="L43" s="30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</row>
    <row r="44" spans="1:42">
      <c r="A44" s="4"/>
      <c r="B44" s="4"/>
      <c r="C44" s="4"/>
      <c r="D44" s="4"/>
      <c r="E44" s="4"/>
      <c r="F44" s="4"/>
      <c r="G44" s="4"/>
      <c r="H44" s="4"/>
      <c r="I44" s="4"/>
      <c r="J44" s="30"/>
      <c r="K44" s="30"/>
      <c r="L44" s="30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</row>
    <row r="45" spans="1:42">
      <c r="A45" s="4"/>
      <c r="B45" s="4"/>
      <c r="C45" s="4"/>
      <c r="D45" s="4"/>
      <c r="E45" s="4"/>
      <c r="F45" s="4"/>
      <c r="G45" s="4"/>
      <c r="H45" s="4"/>
      <c r="I45" s="4"/>
      <c r="J45" s="30"/>
      <c r="K45" s="30"/>
      <c r="L45" s="30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</row>
    <row r="46" spans="1:42">
      <c r="A46" s="4"/>
      <c r="B46" s="4"/>
      <c r="C46" s="4"/>
      <c r="D46" s="4"/>
      <c r="E46" s="4"/>
      <c r="F46" s="4"/>
      <c r="G46" s="4"/>
      <c r="H46" s="4"/>
      <c r="I46" s="4"/>
      <c r="J46" s="30"/>
      <c r="K46" s="30"/>
      <c r="L46" s="30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</row>
    <row r="47" spans="1:42">
      <c r="A47" s="4"/>
      <c r="B47" s="4"/>
      <c r="C47" s="4"/>
      <c r="D47" s="4"/>
      <c r="E47" s="4"/>
      <c r="F47" s="4"/>
      <c r="G47" s="4"/>
      <c r="H47" s="4"/>
      <c r="I47" s="4"/>
      <c r="J47" s="30"/>
      <c r="K47" s="30"/>
      <c r="L47" s="30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</row>
    <row r="48" spans="1:42">
      <c r="A48" s="4"/>
      <c r="B48" s="4"/>
      <c r="C48" s="4"/>
      <c r="D48" s="4"/>
      <c r="E48" s="4"/>
      <c r="F48" s="4"/>
      <c r="G48" s="4"/>
      <c r="H48" s="4"/>
      <c r="I48" s="4"/>
      <c r="J48" s="30"/>
      <c r="K48" s="30"/>
      <c r="L48" s="30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</row>
    <row r="49" spans="1:42">
      <c r="A49" s="4"/>
      <c r="B49" s="4"/>
      <c r="C49" s="4"/>
      <c r="D49" s="4"/>
      <c r="E49" s="4"/>
      <c r="F49" s="4"/>
      <c r="G49" s="4"/>
      <c r="H49" s="4"/>
      <c r="I49" s="4"/>
      <c r="J49" s="30"/>
      <c r="K49" s="30"/>
      <c r="L49" s="30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</row>
    <row r="50" spans="1:42">
      <c r="A50" s="4"/>
      <c r="B50" s="4"/>
      <c r="C50" s="4"/>
      <c r="D50" s="4"/>
      <c r="E50" s="4"/>
      <c r="F50" s="4"/>
      <c r="G50" s="4"/>
      <c r="H50" s="4"/>
      <c r="I50" s="4"/>
      <c r="J50" s="30"/>
      <c r="K50" s="30"/>
      <c r="L50" s="30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</row>
    <row r="51" spans="1:42">
      <c r="A51" s="4"/>
      <c r="B51" s="4"/>
      <c r="C51" s="4"/>
      <c r="D51" s="4"/>
      <c r="E51" s="4"/>
      <c r="F51" s="4"/>
      <c r="G51" s="4"/>
      <c r="H51" s="4"/>
      <c r="I51" s="4"/>
      <c r="J51" s="30"/>
      <c r="K51" s="30"/>
      <c r="L51" s="30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</row>
    <row r="52" spans="1:42">
      <c r="A52" s="4"/>
      <c r="B52" s="4"/>
      <c r="C52" s="4"/>
      <c r="D52" s="4"/>
      <c r="E52" s="4"/>
      <c r="F52" s="4"/>
      <c r="G52" s="4"/>
      <c r="H52" s="4"/>
      <c r="I52" s="4"/>
      <c r="J52" s="30"/>
      <c r="K52" s="30"/>
      <c r="L52" s="30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</row>
    <row r="53" spans="1:42">
      <c r="A53" s="4"/>
      <c r="B53" s="4"/>
      <c r="C53" s="4"/>
      <c r="D53" s="4"/>
      <c r="E53" s="4"/>
      <c r="F53" s="4"/>
      <c r="G53" s="4"/>
      <c r="H53" s="4"/>
      <c r="I53" s="4"/>
      <c r="J53" s="30"/>
      <c r="K53" s="30"/>
      <c r="L53" s="30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</row>
    <row r="54" spans="1:42">
      <c r="A54" s="4"/>
      <c r="B54" s="4"/>
      <c r="C54" s="4"/>
      <c r="D54" s="4"/>
      <c r="E54" s="4"/>
      <c r="F54" s="4"/>
      <c r="G54" s="4"/>
      <c r="H54" s="4"/>
      <c r="I54" s="4"/>
      <c r="J54" s="30"/>
      <c r="K54" s="30"/>
      <c r="L54" s="30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</row>
    <row r="55" spans="1:42">
      <c r="A55" s="4"/>
      <c r="B55" s="4"/>
      <c r="C55" s="4"/>
      <c r="D55" s="4"/>
      <c r="E55" s="4"/>
      <c r="F55" s="4"/>
      <c r="G55" s="4"/>
      <c r="H55" s="4"/>
      <c r="I55" s="4"/>
      <c r="J55" s="30"/>
      <c r="K55" s="30"/>
      <c r="L55" s="30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</row>
    <row r="56" spans="1:42">
      <c r="A56" s="4"/>
      <c r="B56" s="4"/>
      <c r="C56" s="4"/>
      <c r="D56" s="4"/>
      <c r="E56" s="4"/>
      <c r="F56" s="4"/>
      <c r="G56" s="4"/>
      <c r="H56" s="4"/>
      <c r="I56" s="4"/>
      <c r="J56" s="30"/>
      <c r="K56" s="30"/>
      <c r="L56" s="30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</row>
    <row r="57" spans="1:42">
      <c r="A57" s="4"/>
      <c r="B57" s="4"/>
      <c r="C57" s="4"/>
      <c r="D57" s="4"/>
      <c r="E57" s="4"/>
      <c r="F57" s="4"/>
      <c r="G57" s="4"/>
      <c r="H57" s="4"/>
      <c r="I57" s="4"/>
      <c r="J57" s="30"/>
      <c r="K57" s="30"/>
      <c r="L57" s="30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</row>
    <row r="58" spans="1:42">
      <c r="A58" s="4"/>
      <c r="B58" s="4"/>
      <c r="C58" s="4"/>
      <c r="D58" s="4"/>
      <c r="E58" s="4"/>
      <c r="F58" s="4"/>
      <c r="G58" s="4"/>
      <c r="H58" s="4"/>
      <c r="I58" s="4"/>
      <c r="J58" s="30"/>
      <c r="K58" s="30"/>
      <c r="L58" s="30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</row>
    <row r="59" spans="1:42">
      <c r="A59" s="4"/>
      <c r="B59" s="4"/>
      <c r="C59" s="4"/>
      <c r="D59" s="4"/>
      <c r="E59" s="4"/>
      <c r="F59" s="4"/>
      <c r="G59" s="4"/>
      <c r="H59" s="4"/>
      <c r="I59" s="4"/>
      <c r="J59" s="30"/>
      <c r="K59" s="30"/>
      <c r="L59" s="30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</row>
    <row r="60" spans="1:42">
      <c r="A60" s="4"/>
      <c r="B60" s="4"/>
      <c r="C60" s="4"/>
      <c r="D60" s="4"/>
      <c r="E60" s="4"/>
      <c r="F60" s="4"/>
      <c r="G60" s="4"/>
      <c r="H60" s="4"/>
      <c r="I60" s="4"/>
      <c r="J60" s="30"/>
      <c r="K60" s="30"/>
      <c r="L60" s="30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</row>
    <row r="61" spans="1:42">
      <c r="A61" s="4"/>
      <c r="B61" s="4"/>
      <c r="C61" s="4"/>
      <c r="D61" s="4"/>
      <c r="E61" s="4"/>
      <c r="F61" s="4"/>
      <c r="G61" s="4"/>
      <c r="H61" s="4"/>
      <c r="I61" s="4"/>
      <c r="J61" s="30"/>
      <c r="K61" s="30"/>
      <c r="L61" s="30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</row>
    <row r="62" spans="1:42">
      <c r="A62" s="4"/>
      <c r="B62" s="4"/>
      <c r="C62" s="4"/>
      <c r="D62" s="4"/>
      <c r="E62" s="4"/>
      <c r="F62" s="4"/>
      <c r="G62" s="4"/>
      <c r="H62" s="4"/>
      <c r="I62" s="4"/>
      <c r="J62" s="30"/>
      <c r="K62" s="30"/>
      <c r="L62" s="30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</row>
    <row r="63" spans="1:42">
      <c r="A63" s="4"/>
      <c r="B63" s="4"/>
      <c r="C63" s="4"/>
      <c r="D63" s="4"/>
      <c r="E63" s="4"/>
      <c r="F63" s="4"/>
      <c r="G63" s="4"/>
      <c r="H63" s="4"/>
      <c r="I63" s="4"/>
      <c r="J63" s="30"/>
      <c r="K63" s="30"/>
      <c r="L63" s="30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</row>
    <row r="64" spans="1:42">
      <c r="A64" s="4"/>
      <c r="B64" s="4"/>
      <c r="C64" s="4"/>
      <c r="D64" s="4"/>
      <c r="E64" s="4"/>
      <c r="F64" s="4"/>
      <c r="G64" s="4"/>
      <c r="H64" s="4"/>
      <c r="I64" s="4"/>
      <c r="J64" s="30"/>
      <c r="K64" s="30"/>
      <c r="L64" s="30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</row>
    <row r="65" spans="1:42">
      <c r="A65" s="4"/>
      <c r="B65" s="4"/>
      <c r="C65" s="4"/>
      <c r="D65" s="4"/>
      <c r="E65" s="4"/>
      <c r="F65" s="4"/>
      <c r="G65" s="4"/>
      <c r="H65" s="4"/>
      <c r="I65" s="4"/>
      <c r="J65" s="30"/>
      <c r="K65" s="30"/>
      <c r="L65" s="30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</row>
    <row r="66" spans="1:42">
      <c r="A66" s="4"/>
      <c r="B66" s="4"/>
      <c r="C66" s="4"/>
      <c r="D66" s="4"/>
      <c r="E66" s="4"/>
      <c r="F66" s="4"/>
      <c r="G66" s="4"/>
      <c r="H66" s="4"/>
      <c r="I66" s="4"/>
      <c r="J66" s="30"/>
      <c r="K66" s="30"/>
      <c r="L66" s="30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</row>
    <row r="67" spans="1:42">
      <c r="A67" s="4"/>
      <c r="B67" s="4"/>
      <c r="C67" s="4"/>
      <c r="D67" s="4"/>
      <c r="E67" s="4"/>
      <c r="F67" s="4"/>
      <c r="G67" s="4"/>
      <c r="H67" s="4"/>
      <c r="I67" s="4"/>
      <c r="J67" s="30"/>
      <c r="K67" s="30"/>
      <c r="L67" s="30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</row>
    <row r="68" spans="1:42">
      <c r="A68" s="4"/>
      <c r="B68" s="4"/>
      <c r="C68" s="4"/>
      <c r="D68" s="4"/>
      <c r="E68" s="4"/>
      <c r="F68" s="4"/>
      <c r="G68" s="4"/>
      <c r="H68" s="4"/>
      <c r="I68" s="4"/>
      <c r="J68" s="30"/>
      <c r="K68" s="30"/>
      <c r="L68" s="30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</row>
    <row r="69" spans="1:42">
      <c r="A69" s="4"/>
      <c r="B69" s="4"/>
      <c r="C69" s="4"/>
      <c r="D69" s="4"/>
      <c r="E69" s="4"/>
      <c r="F69" s="4"/>
      <c r="G69" s="4"/>
      <c r="H69" s="4"/>
      <c r="I69" s="4"/>
      <c r="J69" s="30"/>
      <c r="K69" s="30"/>
      <c r="L69" s="30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</row>
    <row r="70" spans="1:42">
      <c r="A70" s="4"/>
      <c r="B70" s="4"/>
      <c r="C70" s="4"/>
      <c r="D70" s="4"/>
      <c r="E70" s="4"/>
      <c r="F70" s="4"/>
      <c r="G70" s="4"/>
      <c r="H70" s="4"/>
      <c r="I70" s="4"/>
      <c r="J70" s="30"/>
      <c r="K70" s="30"/>
      <c r="L70" s="30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</row>
    <row r="71" spans="1:42">
      <c r="A71" s="4"/>
      <c r="B71" s="4"/>
      <c r="C71" s="4"/>
      <c r="D71" s="4"/>
      <c r="E71" s="4"/>
      <c r="F71" s="4"/>
      <c r="G71" s="4"/>
      <c r="H71" s="4"/>
      <c r="I71" s="4"/>
      <c r="J71" s="30"/>
      <c r="K71" s="30"/>
      <c r="L71" s="30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</row>
    <row r="72" spans="1:42">
      <c r="A72" s="4"/>
      <c r="B72" s="4"/>
      <c r="C72" s="4"/>
      <c r="D72" s="4"/>
      <c r="E72" s="4"/>
      <c r="F72" s="4"/>
      <c r="G72" s="4"/>
      <c r="H72" s="4"/>
      <c r="I72" s="4"/>
      <c r="J72" s="30"/>
      <c r="K72" s="30"/>
      <c r="L72" s="30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</row>
    <row r="73" spans="1:42">
      <c r="A73" s="4"/>
      <c r="B73" s="4"/>
      <c r="C73" s="4"/>
      <c r="D73" s="4"/>
      <c r="E73" s="4"/>
      <c r="F73" s="4"/>
      <c r="G73" s="4"/>
      <c r="H73" s="4"/>
      <c r="I73" s="4"/>
      <c r="J73" s="30"/>
      <c r="K73" s="30"/>
      <c r="L73" s="30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</row>
    <row r="74" spans="1:42">
      <c r="A74" s="4"/>
      <c r="B74" s="4"/>
      <c r="C74" s="4"/>
      <c r="D74" s="4"/>
      <c r="E74" s="4"/>
      <c r="F74" s="4"/>
      <c r="G74" s="4"/>
      <c r="H74" s="4"/>
      <c r="I74" s="4"/>
      <c r="J74" s="30"/>
      <c r="K74" s="30"/>
      <c r="L74" s="30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</row>
    <row r="75" spans="1:42">
      <c r="A75" s="4"/>
      <c r="B75" s="4"/>
      <c r="C75" s="4"/>
      <c r="D75" s="4"/>
      <c r="E75" s="4"/>
      <c r="F75" s="4"/>
      <c r="G75" s="4"/>
      <c r="H75" s="4"/>
      <c r="I75" s="4"/>
      <c r="J75" s="30"/>
      <c r="K75" s="30"/>
      <c r="L75" s="30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</row>
    <row r="76" spans="1:42">
      <c r="A76" s="4"/>
      <c r="B76" s="4"/>
      <c r="C76" s="4"/>
      <c r="D76" s="4"/>
      <c r="E76" s="4"/>
      <c r="F76" s="4"/>
      <c r="G76" s="4"/>
      <c r="H76" s="4"/>
      <c r="I76" s="4"/>
      <c r="J76" s="30"/>
      <c r="K76" s="30"/>
      <c r="L76" s="30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</row>
    <row r="77" spans="1:42">
      <c r="A77" s="4"/>
      <c r="B77" s="4"/>
      <c r="C77" s="4"/>
      <c r="D77" s="4"/>
      <c r="E77" s="4"/>
      <c r="F77" s="4"/>
      <c r="G77" s="4"/>
      <c r="H77" s="4"/>
      <c r="I77" s="4"/>
      <c r="J77" s="30"/>
      <c r="K77" s="30"/>
      <c r="L77" s="30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</row>
    <row r="78" spans="1:42">
      <c r="A78" s="4"/>
      <c r="B78" s="4"/>
      <c r="C78" s="4"/>
      <c r="D78" s="4"/>
      <c r="E78" s="4"/>
      <c r="F78" s="4"/>
      <c r="G78" s="4"/>
      <c r="H78" s="4"/>
      <c r="I78" s="4"/>
      <c r="J78" s="30"/>
      <c r="K78" s="30"/>
      <c r="L78" s="30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</row>
    <row r="79" spans="1:42">
      <c r="A79" s="4"/>
      <c r="B79" s="4"/>
      <c r="C79" s="4"/>
      <c r="D79" s="4"/>
      <c r="E79" s="4"/>
      <c r="F79" s="4"/>
      <c r="G79" s="4"/>
      <c r="H79" s="4"/>
      <c r="I79" s="4"/>
      <c r="J79" s="30"/>
      <c r="K79" s="30"/>
      <c r="L79" s="30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</row>
    <row r="80" spans="1:42">
      <c r="A80" s="4"/>
      <c r="B80" s="4"/>
      <c r="C80" s="4"/>
      <c r="D80" s="4"/>
      <c r="E80" s="4"/>
      <c r="F80" s="4"/>
      <c r="G80" s="4"/>
      <c r="H80" s="4"/>
      <c r="I80" s="4"/>
      <c r="J80" s="30"/>
      <c r="K80" s="30"/>
      <c r="L80" s="30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</row>
    <row r="81" spans="1:42">
      <c r="A81" s="4"/>
      <c r="B81" s="4"/>
      <c r="C81" s="4"/>
      <c r="D81" s="4"/>
      <c r="E81" s="4"/>
      <c r="F81" s="4"/>
      <c r="G81" s="4"/>
      <c r="H81" s="4"/>
      <c r="I81" s="4"/>
      <c r="J81" s="30"/>
      <c r="K81" s="30"/>
      <c r="L81" s="30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</row>
    <row r="82" spans="1:42">
      <c r="A82" s="4"/>
      <c r="B82" s="4"/>
      <c r="C82" s="4"/>
      <c r="D82" s="4"/>
      <c r="E82" s="4"/>
      <c r="F82" s="4"/>
      <c r="G82" s="4"/>
      <c r="H82" s="4"/>
      <c r="I82" s="4"/>
      <c r="J82" s="30"/>
      <c r="K82" s="30"/>
      <c r="L82" s="30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</row>
    <row r="83" spans="1:42">
      <c r="A83" s="4"/>
      <c r="B83" s="4"/>
      <c r="C83" s="4"/>
      <c r="D83" s="4"/>
      <c r="E83" s="4"/>
      <c r="F83" s="4"/>
      <c r="G83" s="4"/>
      <c r="H83" s="4"/>
      <c r="I83" s="4"/>
      <c r="J83" s="30"/>
      <c r="K83" s="30"/>
      <c r="L83" s="30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</row>
    <row r="84" spans="1:42">
      <c r="A84" s="4"/>
      <c r="B84" s="4"/>
      <c r="C84" s="4"/>
      <c r="D84" s="4"/>
      <c r="E84" s="4"/>
      <c r="F84" s="4"/>
      <c r="G84" s="4"/>
      <c r="H84" s="4"/>
      <c r="I84" s="4"/>
      <c r="J84" s="30"/>
      <c r="K84" s="30"/>
      <c r="L84" s="30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</row>
    <row r="85" spans="1:42">
      <c r="A85" s="4"/>
      <c r="B85" s="4"/>
      <c r="C85" s="4"/>
      <c r="D85" s="4"/>
      <c r="E85" s="4"/>
      <c r="F85" s="4"/>
      <c r="G85" s="4"/>
      <c r="H85" s="4"/>
      <c r="I85" s="4"/>
      <c r="J85" s="30"/>
      <c r="K85" s="30"/>
      <c r="L85" s="30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</row>
    <row r="86" spans="1:42">
      <c r="A86" s="4"/>
      <c r="B86" s="4"/>
      <c r="C86" s="4"/>
      <c r="D86" s="4"/>
      <c r="E86" s="4"/>
      <c r="F86" s="4"/>
      <c r="G86" s="4"/>
      <c r="H86" s="4"/>
      <c r="I86" s="4"/>
      <c r="J86" s="30"/>
      <c r="K86" s="30"/>
      <c r="L86" s="30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</row>
    <row r="87" spans="1:42">
      <c r="A87" s="4"/>
      <c r="B87" s="4"/>
      <c r="C87" s="4"/>
      <c r="D87" s="4"/>
      <c r="E87" s="4"/>
      <c r="F87" s="4"/>
      <c r="G87" s="4"/>
      <c r="H87" s="4"/>
      <c r="I87" s="4"/>
      <c r="J87" s="30"/>
      <c r="K87" s="30"/>
      <c r="L87" s="30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</row>
    <row r="88" spans="1:42">
      <c r="A88" s="4"/>
      <c r="B88" s="4"/>
      <c r="C88" s="4"/>
      <c r="D88" s="4"/>
      <c r="E88" s="4"/>
      <c r="F88" s="4"/>
      <c r="G88" s="4"/>
      <c r="H88" s="4"/>
      <c r="I88" s="4"/>
      <c r="J88" s="30"/>
      <c r="K88" s="30"/>
      <c r="L88" s="30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</row>
    <row r="89" spans="1:42">
      <c r="A89" s="4"/>
      <c r="B89" s="4"/>
      <c r="C89" s="4"/>
      <c r="D89" s="4"/>
      <c r="E89" s="4"/>
      <c r="F89" s="4"/>
      <c r="G89" s="4"/>
      <c r="H89" s="4"/>
      <c r="I89" s="4"/>
      <c r="J89" s="30"/>
      <c r="K89" s="30"/>
      <c r="L89" s="30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</row>
    <row r="90" spans="1:42">
      <c r="A90" s="4"/>
      <c r="B90" s="4"/>
      <c r="C90" s="4"/>
      <c r="D90" s="4"/>
      <c r="E90" s="4"/>
      <c r="F90" s="4"/>
      <c r="G90" s="4"/>
      <c r="H90" s="4"/>
      <c r="I90" s="4"/>
      <c r="J90" s="30"/>
      <c r="K90" s="30"/>
      <c r="L90" s="30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</row>
    <row r="91" spans="1:42">
      <c r="A91" s="4"/>
      <c r="B91" s="4"/>
      <c r="C91" s="4"/>
      <c r="D91" s="4"/>
      <c r="E91" s="4"/>
      <c r="F91" s="4"/>
      <c r="G91" s="4"/>
      <c r="H91" s="4"/>
      <c r="I91" s="4"/>
      <c r="J91" s="30"/>
      <c r="K91" s="30"/>
      <c r="L91" s="30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</row>
    <row r="92" spans="1:42">
      <c r="A92" s="4"/>
      <c r="B92" s="4"/>
      <c r="C92" s="4"/>
      <c r="D92" s="4"/>
      <c r="E92" s="4"/>
      <c r="F92" s="4"/>
      <c r="G92" s="4"/>
      <c r="H92" s="4"/>
      <c r="I92" s="4"/>
      <c r="J92" s="30"/>
      <c r="K92" s="30"/>
      <c r="L92" s="30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</row>
    <row r="93" spans="1:42">
      <c r="A93" s="4"/>
      <c r="B93" s="4"/>
      <c r="C93" s="4"/>
      <c r="D93" s="4"/>
      <c r="E93" s="4"/>
      <c r="F93" s="4"/>
      <c r="G93" s="4"/>
      <c r="H93" s="4"/>
      <c r="I93" s="4"/>
      <c r="J93" s="30"/>
      <c r="K93" s="30"/>
      <c r="L93" s="30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</row>
    <row r="94" spans="1:42">
      <c r="A94" s="4"/>
      <c r="B94" s="4"/>
      <c r="C94" s="4"/>
      <c r="D94" s="4"/>
      <c r="E94" s="4"/>
      <c r="F94" s="4"/>
      <c r="G94" s="4"/>
      <c r="H94" s="4"/>
      <c r="I94" s="4"/>
      <c r="J94" s="30"/>
      <c r="K94" s="30"/>
      <c r="L94" s="30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</row>
    <row r="95" spans="1:42">
      <c r="A95" s="4"/>
      <c r="B95" s="4"/>
      <c r="C95" s="4"/>
      <c r="D95" s="4"/>
      <c r="E95" s="4"/>
      <c r="F95" s="4"/>
      <c r="G95" s="4"/>
      <c r="H95" s="4"/>
      <c r="I95" s="4"/>
      <c r="J95" s="30"/>
      <c r="K95" s="30"/>
      <c r="L95" s="30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</row>
    <row r="96" spans="1:42">
      <c r="A96" s="4"/>
      <c r="B96" s="4"/>
      <c r="C96" s="4"/>
      <c r="D96" s="4"/>
      <c r="E96" s="4"/>
      <c r="F96" s="4"/>
      <c r="G96" s="4"/>
      <c r="H96" s="4"/>
      <c r="I96" s="4"/>
      <c r="J96" s="30"/>
      <c r="K96" s="30"/>
      <c r="L96" s="30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</row>
    <row r="97" spans="1:42">
      <c r="A97" s="4"/>
      <c r="B97" s="4"/>
      <c r="C97" s="4"/>
      <c r="D97" s="4"/>
      <c r="E97" s="4"/>
      <c r="F97" s="4"/>
      <c r="G97" s="4"/>
      <c r="H97" s="4"/>
      <c r="I97" s="4"/>
      <c r="J97" s="30"/>
      <c r="K97" s="30"/>
      <c r="L97" s="30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</row>
    <row r="98" spans="1:42">
      <c r="A98" s="4"/>
      <c r="B98" s="4"/>
      <c r="C98" s="4"/>
      <c r="D98" s="4"/>
      <c r="E98" s="4"/>
      <c r="F98" s="4"/>
      <c r="G98" s="4"/>
      <c r="H98" s="4"/>
      <c r="I98" s="4"/>
      <c r="J98" s="30"/>
      <c r="K98" s="30"/>
      <c r="L98" s="30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</row>
    <row r="99" spans="1:42">
      <c r="A99" s="4"/>
      <c r="B99" s="4"/>
      <c r="C99" s="4"/>
      <c r="D99" s="4"/>
      <c r="E99" s="4"/>
      <c r="F99" s="4"/>
      <c r="G99" s="4"/>
      <c r="H99" s="4"/>
      <c r="I99" s="4"/>
      <c r="J99" s="30"/>
      <c r="K99" s="30"/>
      <c r="L99" s="30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</row>
    <row r="100" spans="1:42">
      <c r="A100" s="4"/>
      <c r="B100" s="4"/>
      <c r="C100" s="4"/>
      <c r="D100" s="4"/>
      <c r="E100" s="4"/>
      <c r="F100" s="4"/>
      <c r="G100" s="4"/>
      <c r="H100" s="4"/>
      <c r="I100" s="4"/>
      <c r="J100" s="30"/>
      <c r="K100" s="30"/>
      <c r="L100" s="30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</row>
    <row r="101" spans="1:42">
      <c r="A101" s="4"/>
      <c r="B101" s="4"/>
      <c r="C101" s="4"/>
      <c r="D101" s="4"/>
      <c r="E101" s="4"/>
      <c r="F101" s="4"/>
      <c r="G101" s="4"/>
      <c r="H101" s="4"/>
      <c r="I101" s="4"/>
      <c r="J101" s="30"/>
      <c r="K101" s="30"/>
      <c r="L101" s="30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</row>
    <row r="102" spans="1:42">
      <c r="A102" s="4"/>
      <c r="B102" s="4"/>
      <c r="C102" s="4"/>
      <c r="D102" s="4"/>
      <c r="E102" s="4"/>
      <c r="F102" s="4"/>
      <c r="G102" s="4"/>
      <c r="H102" s="4"/>
      <c r="I102" s="4"/>
      <c r="J102" s="30"/>
      <c r="K102" s="30"/>
      <c r="L102" s="30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</row>
    <row r="103" spans="1:42">
      <c r="A103" s="4"/>
      <c r="B103" s="4"/>
      <c r="C103" s="4"/>
      <c r="D103" s="4"/>
      <c r="E103" s="4"/>
      <c r="F103" s="4"/>
      <c r="G103" s="4"/>
      <c r="H103" s="4"/>
      <c r="I103" s="4"/>
      <c r="J103" s="30"/>
      <c r="K103" s="30"/>
      <c r="L103" s="30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</row>
    <row r="104" spans="1:42">
      <c r="A104" s="4"/>
      <c r="B104" s="4"/>
      <c r="C104" s="4"/>
      <c r="D104" s="4"/>
      <c r="E104" s="4"/>
      <c r="F104" s="4"/>
      <c r="G104" s="4"/>
      <c r="H104" s="4"/>
      <c r="I104" s="4"/>
      <c r="J104" s="30"/>
      <c r="K104" s="30"/>
      <c r="L104" s="30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</row>
    <row r="105" spans="1:42">
      <c r="A105" s="4"/>
      <c r="B105" s="4"/>
      <c r="C105" s="4"/>
      <c r="D105" s="4"/>
      <c r="E105" s="4"/>
      <c r="F105" s="4"/>
      <c r="G105" s="4"/>
      <c r="H105" s="4"/>
      <c r="I105" s="4"/>
      <c r="J105" s="30"/>
      <c r="K105" s="30"/>
      <c r="L105" s="30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</row>
    <row r="106" spans="1:42">
      <c r="A106" s="4"/>
      <c r="B106" s="4"/>
      <c r="C106" s="4"/>
      <c r="D106" s="4"/>
      <c r="E106" s="4"/>
      <c r="F106" s="4"/>
      <c r="G106" s="4"/>
      <c r="H106" s="4"/>
      <c r="I106" s="4"/>
      <c r="J106" s="30"/>
      <c r="K106" s="30"/>
      <c r="L106" s="30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</row>
    <row r="107" spans="1:42">
      <c r="A107" s="4"/>
      <c r="B107" s="4"/>
      <c r="C107" s="4"/>
      <c r="D107" s="4"/>
      <c r="E107" s="4"/>
      <c r="F107" s="4"/>
      <c r="G107" s="4"/>
      <c r="H107" s="4"/>
      <c r="I107" s="4"/>
      <c r="J107" s="30"/>
      <c r="K107" s="30"/>
      <c r="L107" s="30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</row>
    <row r="108" spans="1:42">
      <c r="A108" s="4"/>
      <c r="B108" s="4"/>
      <c r="C108" s="4"/>
      <c r="D108" s="4"/>
      <c r="E108" s="4"/>
      <c r="F108" s="4"/>
      <c r="G108" s="4"/>
      <c r="H108" s="4"/>
      <c r="I108" s="4"/>
      <c r="J108" s="30"/>
      <c r="K108" s="30"/>
      <c r="L108" s="30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</row>
    <row r="109" spans="1:42">
      <c r="A109" s="4"/>
      <c r="B109" s="4"/>
      <c r="C109" s="4"/>
      <c r="D109" s="4"/>
      <c r="E109" s="4"/>
      <c r="F109" s="4"/>
      <c r="G109" s="4"/>
      <c r="H109" s="4"/>
      <c r="I109" s="4"/>
      <c r="J109" s="30"/>
      <c r="K109" s="30"/>
      <c r="L109" s="30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</row>
    <row r="110" spans="1:42">
      <c r="A110" s="4"/>
      <c r="B110" s="4"/>
      <c r="C110" s="4"/>
      <c r="D110" s="4"/>
      <c r="E110" s="4"/>
      <c r="F110" s="4"/>
      <c r="G110" s="4"/>
      <c r="H110" s="4"/>
      <c r="I110" s="4"/>
      <c r="J110" s="30"/>
      <c r="K110" s="30"/>
      <c r="L110" s="30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</row>
    <row r="111" spans="1:42">
      <c r="A111" s="4"/>
      <c r="B111" s="4"/>
      <c r="C111" s="4"/>
      <c r="D111" s="4"/>
      <c r="E111" s="4"/>
      <c r="F111" s="4"/>
      <c r="G111" s="4"/>
      <c r="H111" s="4"/>
      <c r="I111" s="4"/>
      <c r="J111" s="30"/>
      <c r="K111" s="30"/>
      <c r="L111" s="30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</row>
    <row r="112" spans="1:42">
      <c r="A112" s="4"/>
      <c r="B112" s="4"/>
      <c r="C112" s="4"/>
      <c r="D112" s="4"/>
      <c r="E112" s="4"/>
      <c r="F112" s="4"/>
      <c r="G112" s="4"/>
      <c r="H112" s="4"/>
      <c r="I112" s="4"/>
      <c r="J112" s="30"/>
      <c r="K112" s="30"/>
      <c r="L112" s="30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</row>
    <row r="113" spans="1:42">
      <c r="A113" s="4"/>
      <c r="B113" s="4"/>
      <c r="C113" s="4"/>
      <c r="D113" s="4"/>
      <c r="E113" s="4"/>
      <c r="F113" s="4"/>
      <c r="G113" s="4"/>
      <c r="H113" s="4"/>
      <c r="I113" s="4"/>
      <c r="J113" s="30"/>
      <c r="K113" s="30"/>
      <c r="L113" s="30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</row>
    <row r="114" spans="1:42">
      <c r="A114" s="4"/>
      <c r="B114" s="4"/>
      <c r="C114" s="4"/>
      <c r="D114" s="4"/>
      <c r="E114" s="4"/>
      <c r="F114" s="4"/>
      <c r="G114" s="4"/>
      <c r="H114" s="4"/>
      <c r="I114" s="4"/>
      <c r="J114" s="30"/>
      <c r="K114" s="30"/>
      <c r="L114" s="30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</row>
    <row r="115" spans="1:42">
      <c r="A115" s="4"/>
      <c r="B115" s="4"/>
      <c r="C115" s="4"/>
      <c r="D115" s="4"/>
      <c r="E115" s="4"/>
      <c r="F115" s="4"/>
      <c r="G115" s="4"/>
      <c r="H115" s="4"/>
      <c r="I115" s="4"/>
      <c r="J115" s="30"/>
      <c r="K115" s="30"/>
      <c r="L115" s="30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</row>
    <row r="116" spans="1:42">
      <c r="A116" s="4"/>
      <c r="B116" s="4"/>
      <c r="C116" s="4"/>
      <c r="D116" s="4"/>
      <c r="E116" s="4"/>
      <c r="F116" s="4"/>
      <c r="G116" s="4"/>
      <c r="H116" s="4"/>
      <c r="I116" s="4"/>
      <c r="J116" s="30"/>
      <c r="K116" s="30"/>
      <c r="L116" s="30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</row>
    <row r="117" spans="1:42">
      <c r="A117" s="4"/>
      <c r="B117" s="4"/>
      <c r="C117" s="4"/>
      <c r="D117" s="4"/>
      <c r="E117" s="4"/>
      <c r="F117" s="4"/>
      <c r="G117" s="4"/>
      <c r="H117" s="4"/>
      <c r="I117" s="4"/>
      <c r="J117" s="30"/>
      <c r="K117" s="30"/>
      <c r="L117" s="30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</row>
    <row r="118" spans="1:42">
      <c r="A118" s="4"/>
      <c r="B118" s="4"/>
      <c r="C118" s="4"/>
      <c r="D118" s="4"/>
      <c r="E118" s="4"/>
      <c r="F118" s="4"/>
      <c r="G118" s="4"/>
      <c r="H118" s="4"/>
      <c r="I118" s="4"/>
      <c r="J118" s="30"/>
      <c r="K118" s="30"/>
      <c r="L118" s="30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</row>
    <row r="119" spans="1:42">
      <c r="A119" s="4"/>
      <c r="B119" s="4"/>
      <c r="C119" s="4"/>
      <c r="D119" s="4"/>
      <c r="E119" s="4"/>
      <c r="F119" s="4"/>
      <c r="G119" s="4"/>
      <c r="H119" s="4"/>
      <c r="I119" s="4"/>
      <c r="J119" s="30"/>
      <c r="K119" s="30"/>
      <c r="L119" s="30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</row>
  </sheetData>
  <phoneticPr fontId="68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信贷市场测算-年度">
    <tabColor rgb="FFFFFFFF"/>
  </sheetPr>
  <dimension ref="A1:AD189"/>
  <sheetViews>
    <sheetView topLeftCell="A16" workbookViewId="0">
      <selection activeCell="C42" sqref="C42"/>
    </sheetView>
  </sheetViews>
  <sheetFormatPr defaultRowHeight="13"/>
  <cols>
    <col min="1" max="1" width="5.81640625" customWidth="1"/>
    <col min="2" max="2" width="36.26953125" customWidth="1"/>
    <col min="3" max="8" width="14.453125" customWidth="1"/>
    <col min="9" max="9" width="16.6328125" customWidth="1"/>
    <col min="10" max="21" width="14.453125" customWidth="1"/>
    <col min="22" max="22" width="16.6328125" customWidth="1"/>
    <col min="23" max="23" width="69.6328125" customWidth="1"/>
    <col min="24" max="29" width="14.453125" customWidth="1"/>
  </cols>
  <sheetData>
    <row r="1" spans="1:29">
      <c r="A1" s="1"/>
      <c r="B1" s="1"/>
      <c r="C1" s="1"/>
      <c r="D1" s="1"/>
      <c r="E1" s="1"/>
      <c r="F1" s="1"/>
      <c r="G1" s="1"/>
      <c r="H1" s="1"/>
      <c r="I1" s="1"/>
      <c r="J1" s="3"/>
      <c r="K1" s="3"/>
      <c r="L1" s="3"/>
      <c r="M1" s="1"/>
      <c r="N1" s="1"/>
      <c r="O1" s="1"/>
      <c r="P1" s="1"/>
      <c r="Q1" s="1"/>
      <c r="R1" s="4"/>
      <c r="S1" s="4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>
      <c r="A2" s="1"/>
      <c r="B2" s="11" t="s">
        <v>3</v>
      </c>
      <c r="C2" s="1"/>
      <c r="D2" s="1"/>
      <c r="E2" s="1"/>
      <c r="F2" s="1"/>
      <c r="G2" s="1"/>
      <c r="H2" s="1"/>
      <c r="I2" s="1"/>
      <c r="J2" s="3"/>
      <c r="K2" s="3"/>
      <c r="L2" s="3"/>
      <c r="M2" s="1"/>
      <c r="N2" s="1"/>
      <c r="O2" s="1"/>
      <c r="P2" s="1"/>
      <c r="Q2" s="1"/>
      <c r="R2" s="4"/>
      <c r="S2" s="4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>
      <c r="A3" s="1"/>
      <c r="B3" s="12" t="s">
        <v>4</v>
      </c>
      <c r="C3" s="13"/>
      <c r="D3" s="1"/>
      <c r="E3" s="1"/>
      <c r="F3" s="1"/>
      <c r="G3" s="1"/>
      <c r="H3" s="1"/>
      <c r="I3" s="1"/>
      <c r="J3" s="3"/>
      <c r="K3" s="3"/>
      <c r="L3" s="3"/>
      <c r="M3" s="1"/>
      <c r="N3" s="1"/>
      <c r="O3" s="1"/>
      <c r="P3" s="1"/>
      <c r="Q3" s="1"/>
      <c r="R3" s="4"/>
      <c r="S3" s="4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>
      <c r="A4" s="1"/>
      <c r="B4" s="1" t="s">
        <v>68</v>
      </c>
      <c r="C4" s="14"/>
      <c r="D4" s="14"/>
      <c r="E4" s="14"/>
      <c r="F4" s="14"/>
      <c r="G4" s="1"/>
      <c r="H4" s="1"/>
      <c r="I4" s="1"/>
      <c r="J4" s="3"/>
      <c r="K4" s="3"/>
      <c r="L4" s="3"/>
      <c r="M4" s="1"/>
      <c r="N4" s="1"/>
      <c r="O4" s="1"/>
      <c r="P4" s="1"/>
      <c r="Q4" s="1"/>
      <c r="R4" s="4"/>
      <c r="S4" s="4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>
      <c r="A5" s="1"/>
      <c r="B5" s="5" t="s">
        <v>1</v>
      </c>
      <c r="C5" s="15">
        <v>2018</v>
      </c>
      <c r="D5" s="15">
        <v>2019</v>
      </c>
      <c r="E5" s="15">
        <v>2020</v>
      </c>
      <c r="F5" s="15">
        <v>2021</v>
      </c>
      <c r="G5" s="15">
        <v>2022</v>
      </c>
      <c r="H5" s="15">
        <v>2023</v>
      </c>
      <c r="I5" s="15" t="s">
        <v>5</v>
      </c>
      <c r="J5" s="6"/>
      <c r="K5" s="6" t="s">
        <v>6</v>
      </c>
      <c r="L5" s="16" t="s">
        <v>7</v>
      </c>
      <c r="M5" s="7" t="s">
        <v>8</v>
      </c>
      <c r="N5" s="7" t="s">
        <v>9</v>
      </c>
      <c r="O5" s="17"/>
      <c r="P5" s="17"/>
      <c r="Q5" s="17" t="s">
        <v>10</v>
      </c>
      <c r="R5" s="4"/>
      <c r="S5" s="4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>
      <c r="A6" s="1"/>
      <c r="B6" s="8" t="s">
        <v>11</v>
      </c>
      <c r="C6" s="18">
        <v>1040</v>
      </c>
      <c r="D6" s="18">
        <v>1120</v>
      </c>
      <c r="E6" s="18">
        <v>1096</v>
      </c>
      <c r="F6" s="18">
        <v>1132</v>
      </c>
      <c r="G6" s="19">
        <f>F6*(1+5.3%)</f>
        <v>1191.9959999999999</v>
      </c>
      <c r="H6" s="19">
        <f>G6*1.0505</f>
        <v>1252.1917979999998</v>
      </c>
      <c r="I6" s="19">
        <f>H6*(1+$Q$6)</f>
        <v>1313.5491961019998</v>
      </c>
      <c r="J6" s="9"/>
      <c r="K6" s="9">
        <f>I6*(1+$Q$6)</f>
        <v>1377.9131067109977</v>
      </c>
      <c r="L6" s="20">
        <f>K6*(1+$Q$6)</f>
        <v>1445.4308489398366</v>
      </c>
      <c r="M6" s="9">
        <f>L6*(1+$Q$6)</f>
        <v>1516.2569605378885</v>
      </c>
      <c r="N6" s="21">
        <f>M6*(1+$Q$6)</f>
        <v>1590.5535516042451</v>
      </c>
      <c r="O6" s="22"/>
      <c r="P6" s="22"/>
      <c r="Q6" s="22">
        <v>4.9000000000000002E-2</v>
      </c>
      <c r="R6" s="23"/>
      <c r="S6" s="23"/>
      <c r="T6" s="24" t="s">
        <v>12</v>
      </c>
      <c r="U6" s="1"/>
      <c r="V6" s="1"/>
      <c r="W6" s="1"/>
      <c r="X6" s="1"/>
      <c r="Y6" s="1"/>
      <c r="Z6" s="1"/>
      <c r="AA6" s="1"/>
      <c r="AB6" s="1"/>
      <c r="AC6" s="1"/>
    </row>
    <row r="7" spans="1:29">
      <c r="A7" s="4"/>
      <c r="B7" s="25" t="s">
        <v>13</v>
      </c>
      <c r="C7" s="26"/>
      <c r="D7" s="26">
        <v>118</v>
      </c>
      <c r="E7" s="26"/>
      <c r="F7" s="26">
        <v>133.5</v>
      </c>
      <c r="G7" s="27"/>
      <c r="H7" s="28"/>
      <c r="I7" s="28"/>
      <c r="J7" s="29"/>
      <c r="K7" s="29"/>
      <c r="L7" s="30"/>
      <c r="M7" s="4"/>
      <c r="N7" s="3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>
      <c r="A8" s="1"/>
      <c r="B8" s="8" t="s">
        <v>2</v>
      </c>
      <c r="C8" s="18">
        <v>74.3</v>
      </c>
      <c r="D8" s="18">
        <v>79.900000000000006</v>
      </c>
      <c r="E8" s="18">
        <v>75.2</v>
      </c>
      <c r="F8" s="18">
        <v>77.099999999999994</v>
      </c>
      <c r="G8" s="32">
        <v>88</v>
      </c>
      <c r="H8" s="33">
        <f>J36</f>
        <v>93.362534285714275</v>
      </c>
      <c r="I8" s="33" t="e">
        <f>K36</f>
        <v>#REF!</v>
      </c>
      <c r="J8" s="34"/>
      <c r="K8" s="34"/>
      <c r="L8" s="35"/>
      <c r="M8" s="1"/>
      <c r="N8" s="36"/>
      <c r="O8" s="1"/>
      <c r="P8" s="1"/>
      <c r="Q8" s="1"/>
      <c r="R8" s="4"/>
      <c r="S8" s="4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>
      <c r="A9" s="1"/>
      <c r="B9" s="8" t="s">
        <v>14</v>
      </c>
      <c r="C9" s="19">
        <f t="shared" ref="C9:I9" si="0">C29+C30+C33+C34</f>
        <v>33.700000000000003</v>
      </c>
      <c r="D9" s="19">
        <f t="shared" si="0"/>
        <v>38.9</v>
      </c>
      <c r="E9" s="19">
        <f t="shared" si="0"/>
        <v>44.4</v>
      </c>
      <c r="F9" s="19">
        <f t="shared" si="0"/>
        <v>48.3</v>
      </c>
      <c r="G9" s="19">
        <f t="shared" si="0"/>
        <v>49.800000000000004</v>
      </c>
      <c r="H9" s="19">
        <f t="shared" si="0"/>
        <v>52.599999999999994</v>
      </c>
      <c r="I9" s="19">
        <f t="shared" si="0"/>
        <v>59.8</v>
      </c>
      <c r="J9" s="3"/>
      <c r="K9" s="3"/>
      <c r="L9" s="35"/>
      <c r="M9" s="37"/>
      <c r="N9" s="38"/>
      <c r="O9" s="1"/>
      <c r="P9" s="1"/>
      <c r="Q9" s="1"/>
      <c r="R9" s="4"/>
      <c r="S9" s="4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>
      <c r="A10" s="1"/>
      <c r="B10" s="8" t="s">
        <v>15</v>
      </c>
      <c r="C10" s="39">
        <f t="shared" ref="C10:I10" si="1">C8/C6</f>
        <v>7.1442307692307694E-2</v>
      </c>
      <c r="D10" s="39">
        <f t="shared" si="1"/>
        <v>7.1339285714285716E-2</v>
      </c>
      <c r="E10" s="39">
        <f t="shared" si="1"/>
        <v>6.8613138686131392E-2</v>
      </c>
      <c r="F10" s="39">
        <f t="shared" si="1"/>
        <v>6.8109540636042396E-2</v>
      </c>
      <c r="G10" s="39">
        <f t="shared" si="1"/>
        <v>7.3825751093124475E-2</v>
      </c>
      <c r="H10" s="39">
        <f t="shared" si="1"/>
        <v>7.4559292302371627E-2</v>
      </c>
      <c r="I10" s="39" t="e">
        <f t="shared" si="1"/>
        <v>#REF!</v>
      </c>
      <c r="J10" s="40"/>
      <c r="K10" s="40">
        <v>0.105</v>
      </c>
      <c r="L10" s="37">
        <v>0.11600000000000001</v>
      </c>
      <c r="M10" s="37">
        <f>AVERAGE(L10,N10)</f>
        <v>0.12501002381347953</v>
      </c>
      <c r="N10" s="41">
        <f>C21</f>
        <v>0.13402004762695907</v>
      </c>
      <c r="O10" s="1"/>
      <c r="P10" s="1"/>
      <c r="Q10" s="1"/>
      <c r="R10" s="4"/>
      <c r="S10" s="4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>
      <c r="A11" s="1"/>
      <c r="B11" s="42"/>
      <c r="C11" s="43"/>
      <c r="D11" s="43"/>
      <c r="E11" s="43"/>
      <c r="F11" s="43"/>
      <c r="G11" s="44" t="s">
        <v>16</v>
      </c>
      <c r="H11" s="1"/>
      <c r="I11" s="1"/>
      <c r="J11" s="45"/>
      <c r="K11" s="45" t="s">
        <v>17</v>
      </c>
      <c r="L11" s="46" t="s">
        <v>18</v>
      </c>
      <c r="M11" s="46" t="s">
        <v>19</v>
      </c>
      <c r="N11" s="47" t="s">
        <v>20</v>
      </c>
      <c r="O11" s="1"/>
      <c r="P11" s="1"/>
      <c r="Q11" s="1"/>
      <c r="R11" s="4"/>
      <c r="S11" s="4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>
      <c r="A12" s="1"/>
      <c r="B12" s="8" t="s">
        <v>21</v>
      </c>
      <c r="C12" s="48">
        <f>C9/C6</f>
        <v>3.2403846153846158E-2</v>
      </c>
      <c r="D12" s="48">
        <f>D9/D6</f>
        <v>3.4732142857142857E-2</v>
      </c>
      <c r="E12" s="48">
        <f>E9/E6</f>
        <v>4.0510948905109485E-2</v>
      </c>
      <c r="F12" s="48">
        <f>F9/F6</f>
        <v>4.2667844522968193E-2</v>
      </c>
      <c r="G12" s="48">
        <f>G9/G6</f>
        <v>4.1778663686790903E-2</v>
      </c>
      <c r="H12" s="49">
        <f>G12/G10*H10</f>
        <v>4.2193781325660318E-2</v>
      </c>
      <c r="I12" s="49" t="e">
        <f>H12/H10*I10</f>
        <v>#REF!</v>
      </c>
      <c r="J12" s="50"/>
      <c r="K12" s="50">
        <v>6.7000000000000004E-2</v>
      </c>
      <c r="L12" s="51">
        <f>K12+1.1%</f>
        <v>7.8E-2</v>
      </c>
      <c r="M12" s="52"/>
      <c r="N12" s="38"/>
      <c r="O12" s="1"/>
      <c r="P12" s="1"/>
      <c r="Q12" s="1"/>
      <c r="R12" s="4"/>
      <c r="S12" s="4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>
      <c r="A13" s="4"/>
      <c r="B13" s="53" t="s">
        <v>22</v>
      </c>
      <c r="C13" s="4"/>
      <c r="D13" s="4"/>
      <c r="E13" s="4"/>
      <c r="F13" s="4"/>
      <c r="G13" s="4"/>
      <c r="H13" s="4"/>
      <c r="I13" s="54"/>
      <c r="J13" s="54"/>
      <c r="K13" s="54"/>
      <c r="L13" s="54"/>
      <c r="M13" s="54"/>
      <c r="N13" s="55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>
      <c r="A14" s="1"/>
      <c r="B14" s="56" t="s">
        <v>23</v>
      </c>
      <c r="C14" s="1"/>
      <c r="D14" s="1"/>
      <c r="E14" s="1"/>
      <c r="F14" s="1"/>
      <c r="G14" s="1"/>
      <c r="H14" s="1"/>
      <c r="I14" s="57" t="e">
        <f>I10*I6</f>
        <v>#REF!</v>
      </c>
      <c r="J14" s="57"/>
      <c r="K14" s="57">
        <f>K10*K6</f>
        <v>144.68087620465474</v>
      </c>
      <c r="L14" s="58">
        <f>L10*L6</f>
        <v>167.66997847702106</v>
      </c>
      <c r="M14" s="58">
        <f>M10*M6</f>
        <v>189.54731874419554</v>
      </c>
      <c r="N14" s="59">
        <f>N10*N6</f>
        <v>213.16606273922983</v>
      </c>
      <c r="O14" s="1"/>
      <c r="P14" s="1"/>
      <c r="Q14" s="1"/>
      <c r="R14" s="4"/>
      <c r="S14" s="4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>
      <c r="A15" s="1"/>
      <c r="B15" s="56" t="s">
        <v>24</v>
      </c>
      <c r="C15" s="60"/>
      <c r="D15" s="60"/>
      <c r="E15" s="60"/>
      <c r="F15" s="60"/>
      <c r="G15" s="60"/>
      <c r="H15" s="1"/>
      <c r="I15" s="61" t="e">
        <f>I6*I12</f>
        <v>#REF!</v>
      </c>
      <c r="J15" s="62"/>
      <c r="K15" s="61">
        <f>K6*K12</f>
        <v>92.320178149636845</v>
      </c>
      <c r="L15" s="63"/>
      <c r="M15" s="64"/>
      <c r="N15" s="65"/>
      <c r="O15" s="1"/>
      <c r="P15" s="1"/>
      <c r="Q15" s="1"/>
      <c r="R15" s="4"/>
      <c r="S15" s="4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>
      <c r="A16" s="1"/>
      <c r="B16" s="66" t="s">
        <v>25</v>
      </c>
      <c r="C16" s="67">
        <f>12100/6.5</f>
        <v>1861.5384615384614</v>
      </c>
      <c r="D16" s="67">
        <f>13200/6.5</f>
        <v>2030.7692307692307</v>
      </c>
      <c r="E16" s="67">
        <f>15200/6.5</f>
        <v>2338.4615384615386</v>
      </c>
      <c r="F16" s="67">
        <f>16600/6.5</f>
        <v>2553.8461538461538</v>
      </c>
      <c r="G16" s="68">
        <f>17250/6.5</f>
        <v>2653.8461538461538</v>
      </c>
      <c r="H16" s="1">
        <f>G16*6.5</f>
        <v>17250</v>
      </c>
      <c r="I16" s="61"/>
      <c r="J16" s="62"/>
      <c r="K16" s="62"/>
      <c r="L16" s="63"/>
      <c r="M16" s="64"/>
      <c r="N16" s="65" t="e">
        <f>#REF!/SUM(#REF!)</f>
        <v>#REF!</v>
      </c>
      <c r="O16" s="1"/>
      <c r="P16" s="1"/>
      <c r="Q16" s="1"/>
      <c r="R16" s="4"/>
      <c r="S16" s="4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>
      <c r="A17" s="1"/>
      <c r="B17" s="8" t="s">
        <v>26</v>
      </c>
      <c r="C17" s="60">
        <f>10700/6.5</f>
        <v>1646.1538461538462</v>
      </c>
      <c r="D17" s="60">
        <f>12300/6.5</f>
        <v>1892.3076923076924</v>
      </c>
      <c r="E17" s="60">
        <f>13500/6.5</f>
        <v>2076.9230769230771</v>
      </c>
      <c r="F17" s="60">
        <f>14800/6.5</f>
        <v>2276.9230769230771</v>
      </c>
      <c r="G17" s="69"/>
      <c r="I17" s="70"/>
      <c r="J17" s="70"/>
      <c r="L17" s="63"/>
      <c r="M17" s="64"/>
      <c r="N17" s="65" t="e">
        <f>N14*N16</f>
        <v>#REF!</v>
      </c>
      <c r="O17" s="1"/>
      <c r="P17" s="1"/>
      <c r="Q17" s="1"/>
      <c r="R17" s="4"/>
      <c r="S17" s="4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>
      <c r="A18" s="1"/>
      <c r="B18" s="8" t="s">
        <v>27</v>
      </c>
      <c r="C18" s="71">
        <f>C17/C16</f>
        <v>0.88429752066115708</v>
      </c>
      <c r="D18" s="71">
        <f>D17/D16</f>
        <v>0.93181818181818188</v>
      </c>
      <c r="E18" s="71">
        <f>E17/E16</f>
        <v>0.88815789473684215</v>
      </c>
      <c r="F18" s="71">
        <f>F17/F16</f>
        <v>0.89156626506024106</v>
      </c>
      <c r="G18" s="71">
        <f>G17/G16</f>
        <v>0</v>
      </c>
      <c r="H18" s="1"/>
      <c r="I18" s="1"/>
      <c r="J18" s="62"/>
      <c r="K18" s="62"/>
      <c r="L18" s="63"/>
      <c r="M18" s="64"/>
      <c r="N18" s="72">
        <v>3.9E-2</v>
      </c>
      <c r="O18" s="12"/>
      <c r="P18" s="12"/>
      <c r="Q18" s="12" t="s">
        <v>28</v>
      </c>
      <c r="R18" s="4"/>
      <c r="S18" s="4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>
      <c r="A19" s="1"/>
      <c r="B19" s="8" t="s">
        <v>29</v>
      </c>
      <c r="C19" s="73">
        <v>13890</v>
      </c>
      <c r="D19" s="73">
        <v>14280</v>
      </c>
      <c r="E19" s="73">
        <v>14720</v>
      </c>
      <c r="F19" s="74">
        <f>114370/6.5</f>
        <v>17595.384615384617</v>
      </c>
      <c r="G19" s="69"/>
      <c r="H19" s="75"/>
      <c r="I19" s="76"/>
      <c r="J19" s="62"/>
      <c r="K19" s="62"/>
      <c r="L19" s="63"/>
      <c r="M19" s="64"/>
      <c r="N19" s="65" t="e">
        <f>N17*N18</f>
        <v>#REF!</v>
      </c>
      <c r="O19" s="1"/>
      <c r="P19" s="1"/>
      <c r="Q19" s="1"/>
      <c r="R19" s="4"/>
      <c r="S19" s="4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>
      <c r="A20" s="4"/>
      <c r="B20" s="25" t="s">
        <v>30</v>
      </c>
      <c r="C20" s="77">
        <f>377783/6.5/10</f>
        <v>5812.0461538461541</v>
      </c>
      <c r="D20" s="77">
        <f>408017/6.5/10</f>
        <v>6277.1846153846154</v>
      </c>
      <c r="E20" s="77">
        <f>391980/6.5/10</f>
        <v>6030.4615384615381</v>
      </c>
      <c r="F20" s="77">
        <f>440823/6.5/10</f>
        <v>6781.8923076923074</v>
      </c>
      <c r="G20" s="78">
        <f>439377/6.8/10</f>
        <v>6461.426470588236</v>
      </c>
      <c r="H20" s="4">
        <f>471495/6.8/10</f>
        <v>6933.75</v>
      </c>
      <c r="I20" s="4"/>
      <c r="J20" s="79"/>
      <c r="K20" s="79"/>
      <c r="L20" s="79"/>
      <c r="M20" s="4"/>
      <c r="N20" s="80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A21" s="1"/>
      <c r="B21" s="8" t="s">
        <v>31</v>
      </c>
      <c r="C21" s="81">
        <f>C16/C19</f>
        <v>0.13402004762695907</v>
      </c>
      <c r="D21" s="81">
        <f>D16/D19</f>
        <v>0.14221073044602456</v>
      </c>
      <c r="E21" s="81">
        <f>E16/E19</f>
        <v>0.15886287625418061</v>
      </c>
      <c r="F21" s="81">
        <f>F16/F19</f>
        <v>0.14514295706916147</v>
      </c>
      <c r="G21" s="69"/>
      <c r="H21" s="1"/>
      <c r="I21" s="1"/>
      <c r="J21" s="62"/>
      <c r="K21" s="62"/>
      <c r="L21" s="63"/>
      <c r="M21" s="64"/>
      <c r="N21" s="82"/>
      <c r="R21" s="4"/>
      <c r="S21" s="4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>
      <c r="A22" s="1"/>
      <c r="B22" s="10" t="s">
        <v>32</v>
      </c>
      <c r="C22" s="83">
        <f>C17/C19</f>
        <v>0.11851359583541009</v>
      </c>
      <c r="D22" s="83">
        <f>D17/D19</f>
        <v>0.13251454427925016</v>
      </c>
      <c r="E22" s="83">
        <f>E17/E19</f>
        <v>0.14109531772575251</v>
      </c>
      <c r="F22" s="83">
        <f>F17/F19</f>
        <v>0.12940456413395121</v>
      </c>
      <c r="G22" s="84"/>
      <c r="H22" s="85"/>
      <c r="I22" s="85"/>
      <c r="J22" s="86"/>
      <c r="K22" s="86"/>
      <c r="L22" s="87"/>
      <c r="M22" s="88"/>
      <c r="N22" s="89"/>
      <c r="R22" s="4"/>
      <c r="S22" s="4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>
      <c r="A23" s="4"/>
      <c r="B23" s="90" t="s">
        <v>33</v>
      </c>
      <c r="C23" s="91">
        <f>C17/C20</f>
        <v>0.28323137886035105</v>
      </c>
      <c r="D23" s="91">
        <f>D17/D20</f>
        <v>0.30145802748414896</v>
      </c>
      <c r="E23" s="91">
        <f>E17/E20</f>
        <v>0.34440532680238795</v>
      </c>
      <c r="F23" s="91">
        <f>F17/F20</f>
        <v>0.33573565807591715</v>
      </c>
      <c r="G23" s="4">
        <f>G17/G20</f>
        <v>0</v>
      </c>
      <c r="H23" s="4"/>
      <c r="I23" s="4"/>
      <c r="J23" s="30"/>
      <c r="K23" s="30"/>
      <c r="L23" s="30"/>
      <c r="M23" s="4"/>
      <c r="N23" s="92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1"/>
      <c r="B24" s="1"/>
      <c r="C24" s="1"/>
      <c r="D24" s="1"/>
      <c r="E24" s="1"/>
      <c r="F24" s="1"/>
      <c r="G24" s="1"/>
      <c r="H24" s="1"/>
      <c r="I24" s="1"/>
      <c r="J24" s="3"/>
      <c r="K24" s="3"/>
      <c r="L24" s="3"/>
      <c r="M24" s="1"/>
      <c r="N24" s="93"/>
      <c r="R24" s="4"/>
      <c r="S24" s="4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>
      <c r="A25" s="1"/>
      <c r="B25" s="12" t="s">
        <v>34</v>
      </c>
      <c r="C25" s="1"/>
      <c r="D25" s="1"/>
      <c r="E25" s="1"/>
      <c r="F25" s="1"/>
      <c r="G25" s="1"/>
      <c r="H25" s="1"/>
      <c r="I25" s="1"/>
      <c r="J25" s="3"/>
      <c r="K25" s="3"/>
      <c r="L25" s="3"/>
      <c r="M25" s="1"/>
      <c r="N25" s="1"/>
      <c r="O25" s="1"/>
      <c r="P25" s="1"/>
      <c r="Q25" s="1"/>
      <c r="R25" s="4"/>
      <c r="S25" s="4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>
      <c r="A26" s="1"/>
      <c r="B26" s="94" t="s">
        <v>69</v>
      </c>
      <c r="C26" s="95"/>
      <c r="D26" s="96"/>
      <c r="E26" s="96"/>
      <c r="F26" s="96"/>
      <c r="G26" s="96"/>
      <c r="H26" s="97"/>
      <c r="I26" s="98"/>
      <c r="J26" s="2"/>
      <c r="K26" s="2"/>
      <c r="L26" s="2"/>
      <c r="M26" s="1"/>
      <c r="N26" s="1"/>
      <c r="O26" s="1"/>
      <c r="P26" s="1"/>
      <c r="Q26" s="1"/>
      <c r="R26" s="4"/>
      <c r="S26" s="4"/>
      <c r="T26" s="1"/>
      <c r="U26" s="1"/>
      <c r="V26" s="1"/>
      <c r="W26" s="1"/>
      <c r="X26" s="1"/>
      <c r="Y26" s="1"/>
      <c r="Z26" s="1"/>
      <c r="AA26" s="14"/>
      <c r="AB26" s="1"/>
      <c r="AC26" s="1"/>
    </row>
    <row r="27" spans="1:29">
      <c r="A27" s="1"/>
      <c r="B27" s="99" t="s">
        <v>1</v>
      </c>
      <c r="C27" s="100">
        <v>2016</v>
      </c>
      <c r="D27" s="100">
        <v>2017</v>
      </c>
      <c r="E27" s="100">
        <v>2018</v>
      </c>
      <c r="F27" s="100">
        <v>2019</v>
      </c>
      <c r="G27" s="100">
        <v>2020</v>
      </c>
      <c r="H27" s="100">
        <v>2021</v>
      </c>
      <c r="I27" s="100">
        <v>2022</v>
      </c>
      <c r="J27" s="101">
        <v>2023</v>
      </c>
      <c r="K27" s="101" t="s">
        <v>5</v>
      </c>
      <c r="L27" s="6" t="s">
        <v>6</v>
      </c>
      <c r="M27" s="7" t="s">
        <v>7</v>
      </c>
      <c r="N27" s="6" t="s">
        <v>8</v>
      </c>
      <c r="O27" s="7" t="s">
        <v>9</v>
      </c>
      <c r="P27" s="101" t="s">
        <v>35</v>
      </c>
      <c r="Q27" s="102" t="s">
        <v>36</v>
      </c>
      <c r="R27" s="4"/>
      <c r="S27" s="4"/>
      <c r="T27" s="103"/>
      <c r="U27" s="104" t="s">
        <v>70</v>
      </c>
      <c r="V27" s="1"/>
      <c r="W27" s="14"/>
      <c r="X27" s="14"/>
      <c r="Y27" s="14"/>
      <c r="Z27" s="14"/>
      <c r="AA27" s="1"/>
      <c r="AB27" s="1"/>
    </row>
    <row r="28" spans="1:29">
      <c r="A28" s="1"/>
      <c r="B28" s="105" t="s">
        <v>37</v>
      </c>
      <c r="C28" s="106">
        <v>8.4</v>
      </c>
      <c r="D28" s="106">
        <v>8.9</v>
      </c>
      <c r="E28" s="106">
        <v>10</v>
      </c>
      <c r="F28" s="106">
        <v>10</v>
      </c>
      <c r="G28" s="106">
        <v>7.6</v>
      </c>
      <c r="H28" s="106">
        <v>7.1</v>
      </c>
      <c r="I28" s="107">
        <v>8.3000000000000007</v>
      </c>
      <c r="J28" s="106">
        <f>131420/14000</f>
        <v>9.387142857142857</v>
      </c>
      <c r="K28" s="108" t="e">
        <f>'信贷市场测算-月度'!#REF!</f>
        <v>#REF!</v>
      </c>
      <c r="L28" s="106" t="e">
        <f t="shared" ref="L28:Q29" si="2">K28*(1+$U28)</f>
        <v>#REF!</v>
      </c>
      <c r="M28" s="106" t="e">
        <f t="shared" si="2"/>
        <v>#REF!</v>
      </c>
      <c r="N28" s="106" t="e">
        <f t="shared" si="2"/>
        <v>#REF!</v>
      </c>
      <c r="O28" s="106" t="e">
        <f t="shared" si="2"/>
        <v>#REF!</v>
      </c>
      <c r="P28" s="108" t="e">
        <f t="shared" si="2"/>
        <v>#REF!</v>
      </c>
      <c r="Q28" s="108" t="e">
        <f t="shared" si="2"/>
        <v>#REF!</v>
      </c>
      <c r="R28" s="4"/>
      <c r="S28" s="4"/>
      <c r="T28" s="109">
        <f>(J28/G28)^(1/3)-1</f>
        <v>7.293466831250317E-2</v>
      </c>
      <c r="U28" s="110">
        <v>7.0000000000000007E-2</v>
      </c>
      <c r="V28" s="1"/>
      <c r="W28" s="14"/>
      <c r="X28" s="14"/>
      <c r="Y28" s="14"/>
      <c r="Z28" s="14"/>
      <c r="AA28" s="1"/>
      <c r="AB28" s="1"/>
    </row>
    <row r="29" spans="1:29">
      <c r="A29" s="1"/>
      <c r="B29" s="105" t="s">
        <v>38</v>
      </c>
      <c r="C29" s="108">
        <v>29.3</v>
      </c>
      <c r="D29" s="108">
        <v>33.4</v>
      </c>
      <c r="E29" s="108">
        <v>39</v>
      </c>
      <c r="F29" s="108">
        <v>42.6</v>
      </c>
      <c r="G29" s="108">
        <v>44.4</v>
      </c>
      <c r="H29" s="108">
        <v>45.9</v>
      </c>
      <c r="I29" s="111">
        <v>49.9</v>
      </c>
      <c r="J29" s="106">
        <f>699078/14000</f>
        <v>49.934142857142859</v>
      </c>
      <c r="K29" s="108" t="e">
        <f>'信贷市场测算-月度'!#REF!</f>
        <v>#REF!</v>
      </c>
      <c r="L29" s="106" t="e">
        <f t="shared" si="2"/>
        <v>#REF!</v>
      </c>
      <c r="M29" s="106" t="e">
        <f t="shared" si="2"/>
        <v>#REF!</v>
      </c>
      <c r="N29" s="106" t="e">
        <f t="shared" si="2"/>
        <v>#REF!</v>
      </c>
      <c r="O29" s="106" t="e">
        <f t="shared" si="2"/>
        <v>#REF!</v>
      </c>
      <c r="P29" s="108" t="e">
        <f t="shared" si="2"/>
        <v>#REF!</v>
      </c>
      <c r="Q29" s="108" t="e">
        <f t="shared" si="2"/>
        <v>#REF!</v>
      </c>
      <c r="R29" s="4"/>
      <c r="S29" s="4"/>
      <c r="T29" s="109">
        <f>(J29/G29)^(1/3)-1</f>
        <v>3.9931842532482609E-2</v>
      </c>
      <c r="U29" s="110">
        <v>0.05</v>
      </c>
      <c r="V29" s="1"/>
      <c r="W29" s="14"/>
      <c r="X29" s="14"/>
      <c r="Y29" s="14"/>
      <c r="Z29" s="14"/>
      <c r="AA29" s="1"/>
      <c r="AB29" s="1"/>
    </row>
    <row r="30" spans="1:29">
      <c r="A30" s="1"/>
      <c r="B30" s="112" t="s">
        <v>39</v>
      </c>
      <c r="C30" s="106">
        <v>3.9</v>
      </c>
      <c r="D30" s="106">
        <v>4.9000000000000004</v>
      </c>
      <c r="E30" s="106">
        <v>4.4000000000000004</v>
      </c>
      <c r="F30" s="106">
        <v>4</v>
      </c>
      <c r="G30" s="106">
        <v>3.7</v>
      </c>
      <c r="H30" s="106">
        <v>3.8</v>
      </c>
      <c r="I30" s="107">
        <v>5.3</v>
      </c>
      <c r="J30" s="106">
        <f>107533/14000</f>
        <v>7.6809285714285718</v>
      </c>
      <c r="K30" s="108" t="e">
        <f>'信贷市场测算-月度'!#REF!</f>
        <v>#REF!</v>
      </c>
      <c r="L30" s="106" t="e">
        <f t="shared" ref="L30:N31" si="3">K30*(1+$U30)</f>
        <v>#REF!</v>
      </c>
      <c r="M30" s="106" t="e">
        <f t="shared" si="3"/>
        <v>#REF!</v>
      </c>
      <c r="N30" s="106" t="e">
        <f t="shared" si="3"/>
        <v>#REF!</v>
      </c>
      <c r="O30" s="106" t="e">
        <f>N30*1.15</f>
        <v>#REF!</v>
      </c>
      <c r="P30" s="108" t="e">
        <f>O30*1.15</f>
        <v>#REF!</v>
      </c>
      <c r="Q30" s="108" t="e">
        <f>P30*1.15</f>
        <v>#REF!</v>
      </c>
      <c r="R30" s="4"/>
      <c r="S30" s="4"/>
      <c r="T30" s="109">
        <f>(J30/G30)^(1/3)-1</f>
        <v>0.27566703857134045</v>
      </c>
      <c r="U30" s="110">
        <v>0.2</v>
      </c>
      <c r="V30" s="1"/>
      <c r="W30" s="14"/>
      <c r="X30" s="14"/>
      <c r="Y30" s="14"/>
      <c r="Z30" s="14"/>
      <c r="AA30" s="1"/>
      <c r="AB30" s="1"/>
    </row>
    <row r="31" spans="1:29">
      <c r="A31" s="1"/>
      <c r="B31" s="113" t="s">
        <v>40</v>
      </c>
      <c r="C31" s="114"/>
      <c r="D31" s="114"/>
      <c r="E31" s="114">
        <v>6.93</v>
      </c>
      <c r="F31" s="114">
        <v>7.58</v>
      </c>
      <c r="G31" s="114">
        <v>5.81</v>
      </c>
      <c r="H31" s="114">
        <v>5.9</v>
      </c>
      <c r="I31" s="114">
        <v>6.55</v>
      </c>
      <c r="J31" s="115">
        <v>6.9</v>
      </c>
      <c r="K31" s="116" t="e">
        <f>'信贷市场测算-月度'!#REF!</f>
        <v>#REF!</v>
      </c>
      <c r="L31" s="115" t="e">
        <f t="shared" si="3"/>
        <v>#REF!</v>
      </c>
      <c r="M31" s="115" t="e">
        <f t="shared" si="3"/>
        <v>#REF!</v>
      </c>
      <c r="N31" s="115" t="e">
        <f t="shared" si="3"/>
        <v>#REF!</v>
      </c>
      <c r="O31" s="115" t="e">
        <f>N31*(1+$U31)</f>
        <v>#REF!</v>
      </c>
      <c r="P31" s="116" t="e">
        <f>O31*(1+$U31)</f>
        <v>#REF!</v>
      </c>
      <c r="Q31" s="116" t="e">
        <f>P31*(1+$U31)</f>
        <v>#REF!</v>
      </c>
      <c r="R31" s="4"/>
      <c r="S31" s="4"/>
      <c r="T31" s="109">
        <f>(J31/G31)^(1/3)-1</f>
        <v>5.8987871300655081E-2</v>
      </c>
      <c r="U31" s="110">
        <v>7.0000000000000007E-2</v>
      </c>
      <c r="V31" s="1"/>
      <c r="W31" s="14"/>
      <c r="X31" s="14"/>
      <c r="Y31" s="14"/>
      <c r="Z31" s="14"/>
      <c r="AA31" s="1"/>
      <c r="AB31" s="1"/>
    </row>
    <row r="32" spans="1:29">
      <c r="A32" s="1"/>
      <c r="B32" s="113" t="s">
        <v>41</v>
      </c>
      <c r="C32" s="114">
        <v>16.5</v>
      </c>
      <c r="D32" s="114">
        <v>18.100000000000001</v>
      </c>
      <c r="E32" s="114">
        <v>13.42</v>
      </c>
      <c r="F32" s="114">
        <v>13.89</v>
      </c>
      <c r="G32" s="114">
        <v>12.12</v>
      </c>
      <c r="H32" s="114">
        <v>11.88</v>
      </c>
      <c r="I32" s="114">
        <v>13.39</v>
      </c>
      <c r="J32" s="115">
        <v>14.1</v>
      </c>
      <c r="K32" s="116" t="e">
        <f>'信贷市场测算-月度'!#REF!</f>
        <v>#REF!</v>
      </c>
      <c r="L32" s="115">
        <f t="shared" ref="L32:Q32" si="4">J32*(1+$U31)</f>
        <v>15.087</v>
      </c>
      <c r="M32" s="115" t="e">
        <f t="shared" si="4"/>
        <v>#REF!</v>
      </c>
      <c r="N32" s="115">
        <f t="shared" si="4"/>
        <v>16.143090000000001</v>
      </c>
      <c r="O32" s="115" t="e">
        <f t="shared" si="4"/>
        <v>#REF!</v>
      </c>
      <c r="P32" s="116">
        <f t="shared" si="4"/>
        <v>17.273106300000002</v>
      </c>
      <c r="Q32" s="116" t="e">
        <f t="shared" si="4"/>
        <v>#REF!</v>
      </c>
      <c r="R32" s="4"/>
      <c r="S32" s="4"/>
      <c r="T32" s="109"/>
      <c r="U32" s="110"/>
      <c r="V32" s="1"/>
      <c r="W32" s="14"/>
      <c r="X32" s="14"/>
      <c r="Y32" s="14"/>
      <c r="Z32" s="14"/>
      <c r="AA32" s="1"/>
      <c r="AB32" s="1"/>
    </row>
    <row r="33" spans="1:30">
      <c r="A33" s="1"/>
      <c r="B33" s="117" t="s">
        <v>42</v>
      </c>
      <c r="C33" s="114">
        <v>0.5</v>
      </c>
      <c r="D33" s="114">
        <v>0.6</v>
      </c>
      <c r="E33" s="114">
        <v>0.6</v>
      </c>
      <c r="F33" s="114">
        <v>0.8</v>
      </c>
      <c r="G33" s="114">
        <v>0.6</v>
      </c>
      <c r="H33" s="118">
        <v>0.8</v>
      </c>
      <c r="I33" s="114">
        <v>0.9</v>
      </c>
      <c r="J33" s="115">
        <v>1.1000000000000001</v>
      </c>
      <c r="K33" s="119">
        <v>1.0760000000000001</v>
      </c>
      <c r="L33" s="115">
        <f t="shared" ref="L33:Q33" si="5">K33*(1+$U33)</f>
        <v>1.2912000000000001</v>
      </c>
      <c r="M33" s="115">
        <f t="shared" si="5"/>
        <v>1.5494400000000002</v>
      </c>
      <c r="N33" s="115">
        <f t="shared" si="5"/>
        <v>1.8593280000000001</v>
      </c>
      <c r="O33" s="115">
        <f t="shared" si="5"/>
        <v>2.2311936000000001</v>
      </c>
      <c r="P33" s="116">
        <f t="shared" si="5"/>
        <v>2.6774323199999999</v>
      </c>
      <c r="Q33" s="116">
        <f t="shared" si="5"/>
        <v>3.2129187839999998</v>
      </c>
      <c r="R33" s="4"/>
      <c r="S33" s="4"/>
      <c r="T33" s="109">
        <f>(J33/G33)^(1/3)-1</f>
        <v>0.22390341034166039</v>
      </c>
      <c r="U33" s="110">
        <v>0.2</v>
      </c>
      <c r="V33" s="1"/>
      <c r="W33" s="14"/>
      <c r="X33" s="14"/>
      <c r="Y33" s="14"/>
      <c r="Z33" s="14"/>
      <c r="AA33" s="1"/>
      <c r="AB33" s="1"/>
    </row>
    <row r="34" spans="1:30">
      <c r="A34" s="1"/>
      <c r="B34" s="120" t="s">
        <v>43</v>
      </c>
      <c r="C34" s="121"/>
      <c r="D34" s="121"/>
      <c r="E34" s="122">
        <v>0.4</v>
      </c>
      <c r="F34" s="123">
        <v>0.9</v>
      </c>
      <c r="G34" s="123">
        <v>1.1000000000000001</v>
      </c>
      <c r="H34" s="123">
        <v>2.1</v>
      </c>
      <c r="I34" s="124">
        <v>3.7</v>
      </c>
      <c r="J34" s="125">
        <f>59644.48/14000</f>
        <v>4.2603200000000001</v>
      </c>
      <c r="K34" s="126" t="e">
        <f>'信贷市场测算-月度'!#REF!</f>
        <v>#REF!</v>
      </c>
      <c r="L34" s="127" t="e">
        <f>K34*1.2</f>
        <v>#REF!</v>
      </c>
      <c r="M34" s="128" t="e">
        <f>L34*1.2</f>
        <v>#REF!</v>
      </c>
      <c r="N34" s="129" t="e">
        <f>M34*1.2</f>
        <v>#REF!</v>
      </c>
      <c r="O34" s="129" t="e">
        <f>N34*1.15</f>
        <v>#REF!</v>
      </c>
      <c r="P34" s="130" t="e">
        <f>O34*1.15</f>
        <v>#REF!</v>
      </c>
      <c r="Q34" s="130" t="e">
        <f>P34*1.15</f>
        <v>#REF!</v>
      </c>
      <c r="R34" s="4"/>
      <c r="S34" s="4"/>
      <c r="T34" s="109">
        <f>(J34/G34)^(1/3)-1</f>
        <v>0.57042251084359896</v>
      </c>
      <c r="U34" s="131">
        <v>0.15</v>
      </c>
      <c r="V34" s="1"/>
      <c r="W34" s="14"/>
      <c r="X34" s="14"/>
      <c r="Y34" s="14"/>
      <c r="Z34" s="14"/>
      <c r="AA34" s="1"/>
      <c r="AB34" s="1"/>
    </row>
    <row r="35" spans="1:30">
      <c r="A35" s="4"/>
      <c r="B35" s="132"/>
      <c r="C35" s="133"/>
      <c r="D35" s="133"/>
      <c r="E35" s="133">
        <f t="shared" ref="E35:Q35" si="6">E34*14/15</f>
        <v>0.37333333333333335</v>
      </c>
      <c r="F35" s="133">
        <f t="shared" si="6"/>
        <v>0.84</v>
      </c>
      <c r="G35" s="133">
        <f t="shared" si="6"/>
        <v>1.0266666666666668</v>
      </c>
      <c r="H35" s="133">
        <f t="shared" si="6"/>
        <v>1.9600000000000002</v>
      </c>
      <c r="I35" s="133">
        <f t="shared" si="6"/>
        <v>3.4533333333333336</v>
      </c>
      <c r="J35" s="133">
        <f t="shared" si="6"/>
        <v>3.9762986666666666</v>
      </c>
      <c r="K35" s="133" t="e">
        <f t="shared" si="6"/>
        <v>#REF!</v>
      </c>
      <c r="L35" s="133" t="e">
        <f t="shared" si="6"/>
        <v>#REF!</v>
      </c>
      <c r="M35" s="133" t="e">
        <f t="shared" si="6"/>
        <v>#REF!</v>
      </c>
      <c r="N35" s="133" t="e">
        <f t="shared" si="6"/>
        <v>#REF!</v>
      </c>
      <c r="O35" s="133" t="e">
        <f t="shared" si="6"/>
        <v>#REF!</v>
      </c>
      <c r="P35" s="133" t="e">
        <f t="shared" si="6"/>
        <v>#REF!</v>
      </c>
      <c r="Q35" s="133" t="e">
        <f t="shared" si="6"/>
        <v>#REF!</v>
      </c>
      <c r="R35" s="4"/>
      <c r="S35" s="4"/>
      <c r="T35" s="109"/>
      <c r="U35" s="4"/>
      <c r="V35" s="4"/>
      <c r="W35" s="134"/>
      <c r="X35" s="134"/>
      <c r="Y35" s="134"/>
      <c r="Z35" s="134"/>
      <c r="AA35" s="4"/>
      <c r="AB35" s="4"/>
    </row>
    <row r="36" spans="1:30">
      <c r="A36" s="1"/>
      <c r="B36" s="135" t="s">
        <v>71</v>
      </c>
      <c r="C36" s="136">
        <f t="shared" ref="C36:Q36" si="7">SUM(C28:C34)</f>
        <v>58.6</v>
      </c>
      <c r="D36" s="136">
        <f t="shared" si="7"/>
        <v>65.899999999999991</v>
      </c>
      <c r="E36" s="136">
        <f t="shared" si="7"/>
        <v>74.75</v>
      </c>
      <c r="F36" s="136">
        <f t="shared" si="7"/>
        <v>79.77000000000001</v>
      </c>
      <c r="G36" s="136">
        <f t="shared" si="7"/>
        <v>75.33</v>
      </c>
      <c r="H36" s="136">
        <f t="shared" si="7"/>
        <v>77.47999999999999</v>
      </c>
      <c r="I36" s="136">
        <f t="shared" si="7"/>
        <v>88.04</v>
      </c>
      <c r="J36" s="137">
        <f t="shared" si="7"/>
        <v>93.362534285714275</v>
      </c>
      <c r="K36" s="138" t="e">
        <f t="shared" si="7"/>
        <v>#REF!</v>
      </c>
      <c r="L36" s="138" t="e">
        <f t="shared" si="7"/>
        <v>#REF!</v>
      </c>
      <c r="M36" s="136" t="e">
        <f t="shared" si="7"/>
        <v>#REF!</v>
      </c>
      <c r="N36" s="136" t="e">
        <f t="shared" si="7"/>
        <v>#REF!</v>
      </c>
      <c r="O36" s="136" t="e">
        <f t="shared" si="7"/>
        <v>#REF!</v>
      </c>
      <c r="P36" s="139" t="e">
        <f t="shared" si="7"/>
        <v>#REF!</v>
      </c>
      <c r="Q36" s="139" t="e">
        <f t="shared" si="7"/>
        <v>#REF!</v>
      </c>
      <c r="R36" s="4"/>
      <c r="S36" s="4"/>
      <c r="T36" s="109">
        <f>(J36/G36)^(1/3)-1</f>
        <v>7.4158134089293393E-2</v>
      </c>
      <c r="U36" s="4"/>
      <c r="V36" s="1"/>
      <c r="W36" s="14"/>
      <c r="X36" s="14"/>
      <c r="Y36" s="14"/>
      <c r="Z36" s="14"/>
      <c r="AA36" s="1"/>
      <c r="AB36" s="1"/>
    </row>
    <row r="37" spans="1:30">
      <c r="A37" s="1"/>
      <c r="B37" s="140" t="s">
        <v>14</v>
      </c>
      <c r="C37" s="141"/>
      <c r="D37" s="142"/>
      <c r="E37" s="143">
        <f>SUM(E29,E30,E33,E34)</f>
        <v>44.4</v>
      </c>
      <c r="F37" s="143">
        <f>SUM(F29,F30,F33,F34)</f>
        <v>48.3</v>
      </c>
      <c r="G37" s="143">
        <f>SUM(G29,G30,G33,G34)</f>
        <v>49.800000000000004</v>
      </c>
      <c r="H37" s="143">
        <f>SUM(H29,H30,H33,H34)</f>
        <v>52.599999999999994</v>
      </c>
      <c r="I37" s="143">
        <f>SUM(I29,I30,I33,I34)</f>
        <v>59.8</v>
      </c>
      <c r="J37" s="143">
        <v>64.291891962992295</v>
      </c>
      <c r="K37" s="144" t="e">
        <f t="shared" ref="K37:Q37" si="8">SUM(K29,K30,K33,K34)</f>
        <v>#REF!</v>
      </c>
      <c r="L37" s="143" t="e">
        <f t="shared" si="8"/>
        <v>#REF!</v>
      </c>
      <c r="M37" s="145" t="e">
        <f t="shared" si="8"/>
        <v>#REF!</v>
      </c>
      <c r="N37" s="143" t="e">
        <f t="shared" si="8"/>
        <v>#REF!</v>
      </c>
      <c r="O37" s="145" t="e">
        <f t="shared" si="8"/>
        <v>#REF!</v>
      </c>
      <c r="P37" s="146" t="e">
        <f t="shared" si="8"/>
        <v>#REF!</v>
      </c>
      <c r="Q37" s="146" t="e">
        <f t="shared" si="8"/>
        <v>#REF!</v>
      </c>
      <c r="R37" s="4"/>
      <c r="S37" s="4"/>
      <c r="T37" s="4"/>
      <c r="U37" s="4"/>
      <c r="V37" s="1"/>
      <c r="W37" s="14"/>
      <c r="X37" s="14"/>
      <c r="Y37" s="14"/>
      <c r="Z37" s="14"/>
      <c r="AA37" s="1"/>
      <c r="AB37" s="1"/>
    </row>
    <row r="38" spans="1:30">
      <c r="A38" s="1"/>
      <c r="B38" s="147" t="s">
        <v>44</v>
      </c>
      <c r="C38" s="141"/>
      <c r="D38" s="142"/>
      <c r="E38" s="143">
        <f>E33+E34</f>
        <v>1</v>
      </c>
      <c r="F38" s="143">
        <f>F33+F34</f>
        <v>1.7000000000000002</v>
      </c>
      <c r="G38" s="143">
        <f>G33+G34</f>
        <v>1.7000000000000002</v>
      </c>
      <c r="H38" s="143">
        <f>H33+H34</f>
        <v>2.9000000000000004</v>
      </c>
      <c r="I38" s="143">
        <f>I33+I34</f>
        <v>4.6000000000000005</v>
      </c>
      <c r="J38" s="143">
        <v>6.0476463857566403</v>
      </c>
      <c r="K38" s="148" t="e">
        <f t="shared" ref="K38:Q38" si="9">K33+K34</f>
        <v>#REF!</v>
      </c>
      <c r="L38" s="143" t="e">
        <f t="shared" si="9"/>
        <v>#REF!</v>
      </c>
      <c r="M38" s="149" t="e">
        <f t="shared" si="9"/>
        <v>#REF!</v>
      </c>
      <c r="N38" s="143" t="e">
        <f t="shared" si="9"/>
        <v>#REF!</v>
      </c>
      <c r="O38" s="143" t="e">
        <f t="shared" si="9"/>
        <v>#REF!</v>
      </c>
      <c r="P38" s="144" t="e">
        <f t="shared" si="9"/>
        <v>#REF!</v>
      </c>
      <c r="Q38" s="144" t="e">
        <f t="shared" si="9"/>
        <v>#REF!</v>
      </c>
      <c r="R38" s="4"/>
      <c r="S38" s="4"/>
      <c r="T38" s="150"/>
      <c r="U38" s="4"/>
      <c r="V38" s="1"/>
      <c r="W38" s="14"/>
      <c r="X38" s="14"/>
      <c r="Y38" s="14"/>
      <c r="Z38" s="14"/>
      <c r="AA38" s="1"/>
      <c r="AB38" s="1"/>
    </row>
    <row r="39" spans="1:30">
      <c r="A39" s="1"/>
      <c r="B39" s="147" t="s">
        <v>45</v>
      </c>
      <c r="C39" s="147"/>
      <c r="D39" s="147"/>
      <c r="E39" s="147">
        <f t="shared" ref="E39:O39" si="10">E31+E33</f>
        <v>7.5299999999999994</v>
      </c>
      <c r="F39" s="143">
        <f t="shared" si="10"/>
        <v>8.3800000000000008</v>
      </c>
      <c r="G39" s="143">
        <f t="shared" si="10"/>
        <v>6.4099999999999993</v>
      </c>
      <c r="H39" s="143">
        <f t="shared" si="10"/>
        <v>6.7</v>
      </c>
      <c r="I39" s="143">
        <f t="shared" si="10"/>
        <v>7.45</v>
      </c>
      <c r="J39" s="143">
        <f t="shared" si="10"/>
        <v>8</v>
      </c>
      <c r="K39" s="143" t="e">
        <f t="shared" si="10"/>
        <v>#REF!</v>
      </c>
      <c r="L39" s="143" t="e">
        <f t="shared" si="10"/>
        <v>#REF!</v>
      </c>
      <c r="M39" s="143" t="e">
        <f t="shared" si="10"/>
        <v>#REF!</v>
      </c>
      <c r="N39" s="143" t="e">
        <f t="shared" si="10"/>
        <v>#REF!</v>
      </c>
      <c r="O39" s="143" t="e">
        <f t="shared" si="10"/>
        <v>#REF!</v>
      </c>
      <c r="P39" s="1"/>
      <c r="Q39" s="151" t="e">
        <f>(O39/G39)^(1/COUNT(G39:O39))-1</f>
        <v>#REF!</v>
      </c>
      <c r="R39" s="4"/>
      <c r="S39" s="4"/>
      <c r="T39" s="1"/>
      <c r="U39" s="4"/>
      <c r="V39" s="1"/>
      <c r="W39" s="1"/>
      <c r="X39" s="1"/>
      <c r="Y39" s="14"/>
      <c r="Z39" s="14"/>
      <c r="AA39" s="14"/>
      <c r="AB39" s="14"/>
      <c r="AC39" s="1"/>
      <c r="AD39" s="1"/>
    </row>
    <row r="40" spans="1:30">
      <c r="A40" s="1"/>
      <c r="B40" s="94"/>
      <c r="C40" s="152"/>
      <c r="D40" s="152"/>
      <c r="E40" s="152"/>
      <c r="F40" s="152"/>
      <c r="G40" s="152"/>
      <c r="H40" s="152"/>
      <c r="I40" s="152"/>
      <c r="J40" s="152"/>
      <c r="K40" s="152"/>
      <c r="L40" s="153"/>
      <c r="M40" s="154"/>
      <c r="N40" s="155"/>
      <c r="O40" s="11"/>
      <c r="P40" s="1"/>
      <c r="Q40" s="1"/>
      <c r="R40" s="4"/>
      <c r="S40" s="4"/>
      <c r="T40" s="1"/>
      <c r="U40" s="1"/>
      <c r="V40" s="1"/>
      <c r="W40" s="1"/>
      <c r="X40" s="1"/>
      <c r="Y40" s="14"/>
      <c r="Z40" s="14"/>
      <c r="AA40" s="14"/>
      <c r="AB40" s="14"/>
      <c r="AC40" s="1"/>
      <c r="AD40" s="1"/>
    </row>
    <row r="41" spans="1:30">
      <c r="A41" s="1"/>
      <c r="B41" s="1"/>
      <c r="C41" s="1"/>
      <c r="D41" s="1"/>
      <c r="E41" s="1"/>
      <c r="F41" s="1"/>
      <c r="G41" s="1"/>
      <c r="H41" s="1"/>
      <c r="I41" s="1"/>
      <c r="J41" s="3"/>
      <c r="K41" s="3"/>
      <c r="L41" s="3"/>
      <c r="M41" s="1"/>
      <c r="N41" s="1"/>
      <c r="O41" s="1"/>
      <c r="P41" s="1"/>
      <c r="Q41" s="1"/>
      <c r="R41" s="4"/>
      <c r="S41" s="4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30">
      <c r="A42" s="1"/>
      <c r="B42" s="1"/>
      <c r="C42" s="1"/>
      <c r="D42" s="1"/>
      <c r="E42" s="1"/>
      <c r="F42" s="1"/>
      <c r="G42" s="1"/>
      <c r="H42" s="1"/>
      <c r="I42" s="1"/>
      <c r="J42" s="3"/>
      <c r="K42" s="3"/>
      <c r="L42" s="3"/>
      <c r="M42" s="1"/>
      <c r="N42" s="1"/>
      <c r="O42" s="1"/>
      <c r="P42" s="1"/>
      <c r="Q42" s="1"/>
      <c r="R42" s="4"/>
      <c r="S42" s="4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30">
      <c r="A43" s="1"/>
      <c r="B43" s="1"/>
      <c r="C43" s="1"/>
      <c r="D43" s="1"/>
      <c r="E43" s="1"/>
      <c r="F43" s="1"/>
      <c r="G43" s="1"/>
      <c r="H43" s="1"/>
      <c r="I43" s="1"/>
      <c r="J43" s="3"/>
      <c r="K43" s="3"/>
      <c r="L43" s="3"/>
      <c r="M43" s="1"/>
      <c r="N43" s="1"/>
      <c r="O43" s="1"/>
      <c r="P43" s="1"/>
      <c r="Q43" s="1"/>
      <c r="R43" s="4"/>
      <c r="S43" s="4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30">
      <c r="A44" s="1"/>
      <c r="B44" s="1"/>
      <c r="C44" s="1"/>
      <c r="D44" s="1"/>
      <c r="E44" s="1"/>
      <c r="F44" s="1"/>
      <c r="G44" s="1"/>
      <c r="H44" s="1"/>
      <c r="I44" s="1"/>
      <c r="J44" s="3"/>
      <c r="K44" s="3"/>
      <c r="L44" s="3"/>
      <c r="M44" s="1"/>
      <c r="N44" s="1"/>
      <c r="O44" s="1"/>
      <c r="P44" s="1"/>
      <c r="Q44" s="1"/>
      <c r="R44" s="4"/>
      <c r="S44" s="4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30">
      <c r="A45" s="1"/>
      <c r="B45" s="1"/>
      <c r="C45" s="1"/>
      <c r="D45" s="1"/>
      <c r="E45" s="1"/>
      <c r="F45" s="1"/>
      <c r="G45" s="1"/>
      <c r="H45" s="1"/>
      <c r="I45" s="1"/>
      <c r="J45" s="3"/>
      <c r="K45" s="3"/>
      <c r="L45" s="3"/>
      <c r="M45" s="1"/>
      <c r="N45" s="1"/>
      <c r="O45" s="1"/>
      <c r="P45" s="1"/>
      <c r="Q45" s="1"/>
      <c r="R45" s="4"/>
      <c r="S45" s="4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30">
      <c r="A46" s="1"/>
      <c r="B46" s="1"/>
      <c r="C46" s="1"/>
      <c r="D46" s="1"/>
      <c r="E46" s="1"/>
      <c r="F46" s="1"/>
      <c r="G46" s="1"/>
      <c r="H46" s="1"/>
      <c r="I46" s="1"/>
      <c r="J46" s="3"/>
      <c r="K46" s="3"/>
      <c r="L46" s="3"/>
      <c r="M46" s="1"/>
      <c r="N46" s="1"/>
      <c r="O46" s="1"/>
      <c r="P46" s="1"/>
      <c r="Q46" s="1"/>
      <c r="R46" s="4"/>
      <c r="S46" s="4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30">
      <c r="A47" s="1"/>
      <c r="B47" s="1"/>
      <c r="C47" s="1"/>
      <c r="D47" s="1"/>
      <c r="E47" s="1"/>
      <c r="F47" s="1"/>
      <c r="G47" s="1"/>
      <c r="H47" s="1"/>
      <c r="I47" s="1"/>
      <c r="J47" s="3"/>
      <c r="K47" s="3"/>
      <c r="L47" s="3"/>
      <c r="M47" s="1"/>
      <c r="N47" s="1"/>
      <c r="O47" s="1"/>
      <c r="P47" s="1"/>
      <c r="Q47" s="1"/>
      <c r="R47" s="4"/>
      <c r="S47" s="4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30">
      <c r="A48" s="1"/>
      <c r="B48" s="1"/>
      <c r="C48" s="1"/>
      <c r="D48" s="1"/>
      <c r="E48" s="1"/>
      <c r="F48" s="1"/>
      <c r="G48" s="1"/>
      <c r="H48" s="1"/>
      <c r="I48" s="1"/>
      <c r="J48" s="3"/>
      <c r="K48" s="3"/>
      <c r="L48" s="3"/>
      <c r="M48" s="1"/>
      <c r="N48" s="1"/>
      <c r="O48" s="1"/>
      <c r="P48" s="1"/>
      <c r="Q48" s="1"/>
      <c r="R48" s="4"/>
      <c r="S48" s="4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>
      <c r="A49" s="1"/>
      <c r="B49" s="1"/>
      <c r="C49" s="1"/>
      <c r="D49" s="1"/>
      <c r="E49" s="1"/>
      <c r="F49" s="1"/>
      <c r="G49" s="1"/>
      <c r="H49" s="1"/>
      <c r="I49" s="1"/>
      <c r="J49" s="3"/>
      <c r="K49" s="3"/>
      <c r="L49" s="3"/>
      <c r="M49" s="1"/>
      <c r="N49" s="1"/>
      <c r="O49" s="1"/>
      <c r="P49" s="1"/>
      <c r="Q49" s="1"/>
      <c r="R49" s="4"/>
      <c r="S49" s="4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>
      <c r="A50" s="1"/>
      <c r="B50" s="1"/>
      <c r="C50" s="1"/>
      <c r="D50" s="1"/>
      <c r="E50" s="1"/>
      <c r="F50" s="1"/>
      <c r="G50" s="1"/>
      <c r="H50" s="1"/>
      <c r="I50" s="1"/>
      <c r="J50" s="3"/>
      <c r="K50" s="3"/>
      <c r="L50" s="3"/>
      <c r="M50" s="1"/>
      <c r="N50" s="1"/>
      <c r="O50" s="1"/>
      <c r="P50" s="1"/>
      <c r="Q50" s="1"/>
      <c r="R50" s="4"/>
      <c r="S50" s="4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>
      <c r="A51" s="1"/>
      <c r="B51" s="1"/>
      <c r="C51" s="1"/>
      <c r="D51" s="1"/>
      <c r="E51" s="1"/>
      <c r="F51" s="1"/>
      <c r="G51" s="1"/>
      <c r="H51" s="1"/>
      <c r="I51" s="1"/>
      <c r="J51" s="3"/>
      <c r="K51" s="3"/>
      <c r="L51" s="3"/>
      <c r="M51" s="1"/>
      <c r="N51" s="1"/>
      <c r="O51" s="1"/>
      <c r="P51" s="1"/>
      <c r="Q51" s="1"/>
      <c r="R51" s="4"/>
      <c r="S51" s="4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>
      <c r="A52" s="1"/>
      <c r="B52" s="1"/>
      <c r="C52" s="1"/>
      <c r="D52" s="1"/>
      <c r="E52" s="1"/>
      <c r="F52" s="1"/>
      <c r="G52" s="1"/>
      <c r="H52" s="1"/>
      <c r="I52" s="1"/>
      <c r="J52" s="3"/>
      <c r="K52" s="3"/>
      <c r="L52" s="3"/>
      <c r="M52" s="1"/>
      <c r="N52" s="1"/>
      <c r="O52" s="1"/>
      <c r="P52" s="1"/>
      <c r="Q52" s="1"/>
      <c r="R52" s="4"/>
      <c r="S52" s="4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>
      <c r="A53" s="1"/>
      <c r="B53" s="1"/>
      <c r="C53" s="1"/>
      <c r="D53" s="1"/>
      <c r="E53" s="1"/>
      <c r="F53" s="1"/>
      <c r="G53" s="1"/>
      <c r="H53" s="1"/>
      <c r="I53" s="1"/>
      <c r="J53" s="3"/>
      <c r="K53" s="3"/>
      <c r="L53" s="3"/>
      <c r="M53" s="1"/>
      <c r="N53" s="1"/>
      <c r="O53" s="1"/>
      <c r="P53" s="1"/>
      <c r="Q53" s="1"/>
      <c r="R53" s="4"/>
      <c r="S53" s="4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>
      <c r="A54" s="1"/>
      <c r="B54" s="1"/>
      <c r="C54" s="1"/>
      <c r="D54" s="1"/>
      <c r="E54" s="1"/>
      <c r="F54" s="1"/>
      <c r="G54" s="1"/>
      <c r="H54" s="1"/>
      <c r="I54" s="1"/>
      <c r="J54" s="3"/>
      <c r="K54" s="3"/>
      <c r="L54" s="3"/>
      <c r="M54" s="1"/>
      <c r="N54" s="1"/>
      <c r="O54" s="1"/>
      <c r="P54" s="1"/>
      <c r="Q54" s="1"/>
      <c r="R54" s="4"/>
      <c r="S54" s="4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>
      <c r="A55" s="1"/>
      <c r="B55" s="1"/>
      <c r="C55" s="1"/>
      <c r="D55" s="1"/>
      <c r="E55" s="1"/>
      <c r="F55" s="1"/>
      <c r="G55" s="1"/>
      <c r="H55" s="1"/>
      <c r="I55" s="1"/>
      <c r="J55" s="3"/>
      <c r="K55" s="3"/>
      <c r="L55" s="3"/>
      <c r="M55" s="1"/>
      <c r="N55" s="1"/>
      <c r="O55" s="1"/>
      <c r="P55" s="1"/>
      <c r="Q55" s="1"/>
      <c r="R55" s="4"/>
      <c r="S55" s="4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>
      <c r="A56" s="1"/>
      <c r="B56" s="1"/>
      <c r="C56" s="1"/>
      <c r="D56" s="1"/>
      <c r="E56" s="1"/>
      <c r="F56" s="1"/>
      <c r="G56" s="1"/>
      <c r="H56" s="1"/>
      <c r="I56" s="1"/>
      <c r="J56" s="3"/>
      <c r="K56" s="3"/>
      <c r="L56" s="3"/>
      <c r="M56" s="1"/>
      <c r="N56" s="1"/>
      <c r="O56" s="1"/>
      <c r="P56" s="1"/>
      <c r="Q56" s="1"/>
      <c r="R56" s="4"/>
      <c r="S56" s="4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>
      <c r="A57" s="1"/>
      <c r="B57" s="1"/>
      <c r="C57" s="1"/>
      <c r="D57" s="1"/>
      <c r="E57" s="1"/>
      <c r="F57" s="1"/>
      <c r="G57" s="1"/>
      <c r="H57" s="1"/>
      <c r="I57" s="1"/>
      <c r="J57" s="3"/>
      <c r="K57" s="3"/>
      <c r="L57" s="3"/>
      <c r="M57" s="1"/>
      <c r="N57" s="1"/>
      <c r="O57" s="1"/>
      <c r="P57" s="1"/>
      <c r="Q57" s="1"/>
      <c r="R57" s="4"/>
      <c r="S57" s="4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>
      <c r="A58" s="1"/>
      <c r="B58" s="1"/>
      <c r="C58" s="1"/>
      <c r="D58" s="1"/>
      <c r="E58" s="1"/>
      <c r="F58" s="1"/>
      <c r="G58" s="1"/>
      <c r="H58" s="1"/>
      <c r="I58" s="1"/>
      <c r="J58" s="3"/>
      <c r="K58" s="3"/>
      <c r="L58" s="3"/>
      <c r="M58" s="1"/>
      <c r="N58" s="1"/>
      <c r="O58" s="1"/>
      <c r="P58" s="1"/>
      <c r="Q58" s="1"/>
      <c r="R58" s="4"/>
      <c r="S58" s="4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>
      <c r="A59" s="1"/>
      <c r="B59" s="1"/>
      <c r="C59" s="1"/>
      <c r="D59" s="1"/>
      <c r="E59" s="1"/>
      <c r="F59" s="1"/>
      <c r="G59" s="1"/>
      <c r="H59" s="1"/>
      <c r="I59" s="1"/>
      <c r="J59" s="3"/>
      <c r="K59" s="3"/>
      <c r="L59" s="3"/>
      <c r="M59" s="1"/>
      <c r="N59" s="1"/>
      <c r="O59" s="1"/>
      <c r="P59" s="1"/>
      <c r="Q59" s="1"/>
      <c r="R59" s="4"/>
      <c r="S59" s="4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>
      <c r="A60" s="1"/>
      <c r="B60" s="1"/>
      <c r="C60" s="1"/>
      <c r="D60" s="1"/>
      <c r="E60" s="1"/>
      <c r="F60" s="1"/>
      <c r="G60" s="1"/>
      <c r="H60" s="1"/>
      <c r="I60" s="1"/>
      <c r="J60" s="3"/>
      <c r="K60" s="3"/>
      <c r="L60" s="3"/>
      <c r="M60" s="1"/>
      <c r="N60" s="1"/>
      <c r="O60" s="1"/>
      <c r="P60" s="1"/>
      <c r="Q60" s="1"/>
      <c r="R60" s="4"/>
      <c r="S60" s="4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>
      <c r="A61" s="1"/>
      <c r="B61" s="1"/>
      <c r="C61" s="1"/>
      <c r="D61" s="1"/>
      <c r="E61" s="1"/>
      <c r="F61" s="1"/>
      <c r="G61" s="1"/>
      <c r="H61" s="1"/>
      <c r="I61" s="1"/>
      <c r="J61" s="3"/>
      <c r="K61" s="3"/>
      <c r="L61" s="3"/>
      <c r="M61" s="1"/>
      <c r="N61" s="1"/>
      <c r="O61" s="1"/>
      <c r="P61" s="1"/>
      <c r="Q61" s="1"/>
      <c r="R61" s="4"/>
      <c r="S61" s="4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>
      <c r="A62" s="1"/>
      <c r="B62" s="1"/>
      <c r="C62" s="1"/>
      <c r="D62" s="1"/>
      <c r="E62" s="1"/>
      <c r="F62" s="1"/>
      <c r="G62" s="1"/>
      <c r="H62" s="1"/>
      <c r="I62" s="1"/>
      <c r="J62" s="3"/>
      <c r="K62" s="3"/>
      <c r="L62" s="3"/>
      <c r="M62" s="1"/>
      <c r="N62" s="1"/>
      <c r="O62" s="1"/>
      <c r="P62" s="1"/>
      <c r="Q62" s="1"/>
      <c r="R62" s="4"/>
      <c r="S62" s="4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>
      <c r="A63" s="1"/>
      <c r="B63" s="1"/>
      <c r="C63" s="1"/>
      <c r="D63" s="1"/>
      <c r="E63" s="1"/>
      <c r="F63" s="1"/>
      <c r="G63" s="1"/>
      <c r="H63" s="1"/>
      <c r="I63" s="1"/>
      <c r="J63" s="3"/>
      <c r="K63" s="3"/>
      <c r="L63" s="3"/>
      <c r="M63" s="1"/>
      <c r="N63" s="1"/>
      <c r="O63" s="1"/>
      <c r="P63" s="1"/>
      <c r="Q63" s="1"/>
      <c r="R63" s="4"/>
      <c r="S63" s="4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>
      <c r="A64" s="1"/>
      <c r="B64" s="1"/>
      <c r="C64" s="1"/>
      <c r="D64" s="1"/>
      <c r="E64" s="1"/>
      <c r="F64" s="1"/>
      <c r="G64" s="1"/>
      <c r="H64" s="1"/>
      <c r="I64" s="1"/>
      <c r="J64" s="3"/>
      <c r="K64" s="3"/>
      <c r="L64" s="3"/>
      <c r="M64" s="1"/>
      <c r="N64" s="1"/>
      <c r="O64" s="1"/>
      <c r="P64" s="1"/>
      <c r="Q64" s="1"/>
      <c r="R64" s="4"/>
      <c r="S64" s="4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>
      <c r="A65" s="1"/>
      <c r="B65" s="1"/>
      <c r="C65" s="1"/>
      <c r="D65" s="1"/>
      <c r="E65" s="1"/>
      <c r="F65" s="1"/>
      <c r="G65" s="1"/>
      <c r="H65" s="1"/>
      <c r="I65" s="1"/>
      <c r="J65" s="3"/>
      <c r="K65" s="3"/>
      <c r="L65" s="3"/>
      <c r="M65" s="1"/>
      <c r="N65" s="1"/>
      <c r="O65" s="1"/>
      <c r="P65" s="1"/>
      <c r="Q65" s="1"/>
      <c r="R65" s="4"/>
      <c r="S65" s="4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>
      <c r="A66" s="1"/>
      <c r="B66" s="1"/>
      <c r="C66" s="1"/>
      <c r="D66" s="1"/>
      <c r="E66" s="1"/>
      <c r="F66" s="1"/>
      <c r="G66" s="1"/>
      <c r="H66" s="1"/>
      <c r="I66" s="1"/>
      <c r="J66" s="3"/>
      <c r="K66" s="3"/>
      <c r="L66" s="3"/>
      <c r="M66" s="1"/>
      <c r="N66" s="1"/>
      <c r="O66" s="1"/>
      <c r="P66" s="1"/>
      <c r="Q66" s="1"/>
      <c r="R66" s="4"/>
      <c r="S66" s="4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>
      <c r="A67" s="1"/>
      <c r="B67" s="1"/>
      <c r="C67" s="1"/>
      <c r="D67" s="1"/>
      <c r="E67" s="1"/>
      <c r="F67" s="1"/>
      <c r="G67" s="1"/>
      <c r="H67" s="1"/>
      <c r="I67" s="1"/>
      <c r="J67" s="3"/>
      <c r="K67" s="3"/>
      <c r="L67" s="3"/>
      <c r="M67" s="1"/>
      <c r="N67" s="1"/>
      <c r="O67" s="1"/>
      <c r="P67" s="1"/>
      <c r="Q67" s="1"/>
      <c r="R67" s="4"/>
      <c r="S67" s="4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>
      <c r="A68" s="1"/>
      <c r="B68" s="1"/>
      <c r="C68" s="1"/>
      <c r="D68" s="1"/>
      <c r="E68" s="1"/>
      <c r="F68" s="1"/>
      <c r="G68" s="1"/>
      <c r="H68" s="1"/>
      <c r="I68" s="1"/>
      <c r="J68" s="3"/>
      <c r="K68" s="3"/>
      <c r="L68" s="3"/>
      <c r="M68" s="1"/>
      <c r="N68" s="1"/>
      <c r="O68" s="1"/>
      <c r="P68" s="1"/>
      <c r="Q68" s="1"/>
      <c r="R68" s="4"/>
      <c r="S68" s="4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>
      <c r="A69" s="1"/>
      <c r="B69" s="1"/>
      <c r="C69" s="1"/>
      <c r="D69" s="1"/>
      <c r="E69" s="1"/>
      <c r="F69" s="1"/>
      <c r="G69" s="1"/>
      <c r="H69" s="1"/>
      <c r="I69" s="1"/>
      <c r="J69" s="3"/>
      <c r="K69" s="3"/>
      <c r="L69" s="3"/>
      <c r="M69" s="1"/>
      <c r="N69" s="1"/>
      <c r="O69" s="1"/>
      <c r="P69" s="1"/>
      <c r="Q69" s="1"/>
      <c r="R69" s="4"/>
      <c r="S69" s="4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>
      <c r="A70" s="1"/>
      <c r="B70" s="1"/>
      <c r="C70" s="1"/>
      <c r="D70" s="1"/>
      <c r="E70" s="1"/>
      <c r="F70" s="1"/>
      <c r="G70" s="1"/>
      <c r="H70" s="1"/>
      <c r="I70" s="1"/>
      <c r="J70" s="3"/>
      <c r="K70" s="3"/>
      <c r="L70" s="3"/>
      <c r="M70" s="1"/>
      <c r="N70" s="1"/>
      <c r="O70" s="1"/>
      <c r="P70" s="1"/>
      <c r="Q70" s="1"/>
      <c r="R70" s="4"/>
      <c r="S70" s="4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>
      <c r="A71" s="1"/>
      <c r="B71" s="1"/>
      <c r="C71" s="1"/>
      <c r="D71" s="1"/>
      <c r="E71" s="1"/>
      <c r="F71" s="1"/>
      <c r="G71" s="1"/>
      <c r="H71" s="1"/>
      <c r="I71" s="1"/>
      <c r="J71" s="3"/>
      <c r="K71" s="3"/>
      <c r="L71" s="3"/>
      <c r="M71" s="1"/>
      <c r="N71" s="1"/>
      <c r="O71" s="1"/>
      <c r="P71" s="1"/>
      <c r="Q71" s="1"/>
      <c r="R71" s="4"/>
      <c r="S71" s="4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>
      <c r="A72" s="1"/>
      <c r="B72" s="1"/>
      <c r="C72" s="1"/>
      <c r="D72" s="1"/>
      <c r="E72" s="1"/>
      <c r="F72" s="1"/>
      <c r="G72" s="1"/>
      <c r="H72" s="1"/>
      <c r="I72" s="1"/>
      <c r="J72" s="3"/>
      <c r="K72" s="3"/>
      <c r="L72" s="3"/>
      <c r="M72" s="1"/>
      <c r="N72" s="1"/>
      <c r="O72" s="1"/>
      <c r="P72" s="1"/>
      <c r="Q72" s="1"/>
      <c r="R72" s="4"/>
      <c r="S72" s="4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>
      <c r="A73" s="1"/>
      <c r="B73" s="1"/>
      <c r="C73" s="1"/>
      <c r="D73" s="1"/>
      <c r="E73" s="1"/>
      <c r="F73" s="1"/>
      <c r="G73" s="1"/>
      <c r="H73" s="1"/>
      <c r="I73" s="1"/>
      <c r="J73" s="3"/>
      <c r="K73" s="3"/>
      <c r="L73" s="3"/>
      <c r="M73" s="1"/>
      <c r="N73" s="1"/>
      <c r="O73" s="1"/>
      <c r="P73" s="1"/>
      <c r="Q73" s="1"/>
      <c r="R73" s="4"/>
      <c r="S73" s="4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>
      <c r="A74" s="1"/>
      <c r="B74" s="1"/>
      <c r="C74" s="1"/>
      <c r="D74" s="1"/>
      <c r="E74" s="1"/>
      <c r="F74" s="1"/>
      <c r="G74" s="1"/>
      <c r="H74" s="1"/>
      <c r="I74" s="1"/>
      <c r="J74" s="3"/>
      <c r="K74" s="3"/>
      <c r="L74" s="3"/>
      <c r="M74" s="1"/>
      <c r="N74" s="1"/>
      <c r="O74" s="1"/>
      <c r="P74" s="1"/>
      <c r="Q74" s="1"/>
      <c r="R74" s="4"/>
      <c r="S74" s="4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>
      <c r="A75" s="1"/>
      <c r="B75" s="1"/>
      <c r="C75" s="1"/>
      <c r="D75" s="1"/>
      <c r="E75" s="1"/>
      <c r="F75" s="1"/>
      <c r="G75" s="1"/>
      <c r="H75" s="1"/>
      <c r="I75" s="1"/>
      <c r="J75" s="3"/>
      <c r="K75" s="3"/>
      <c r="L75" s="3"/>
      <c r="M75" s="1"/>
      <c r="N75" s="1"/>
      <c r="O75" s="1"/>
      <c r="P75" s="1"/>
      <c r="Q75" s="1"/>
      <c r="R75" s="4"/>
      <c r="S75" s="4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>
      <c r="A76" s="1"/>
      <c r="B76" s="1"/>
      <c r="C76" s="1"/>
      <c r="D76" s="1"/>
      <c r="E76" s="1"/>
      <c r="F76" s="1"/>
      <c r="G76" s="1"/>
      <c r="H76" s="1"/>
      <c r="I76" s="1"/>
      <c r="J76" s="3"/>
      <c r="K76" s="3"/>
      <c r="L76" s="3"/>
      <c r="M76" s="1"/>
      <c r="N76" s="1"/>
      <c r="O76" s="1"/>
      <c r="P76" s="1"/>
      <c r="Q76" s="1"/>
      <c r="R76" s="4"/>
      <c r="S76" s="4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>
      <c r="A77" s="1"/>
      <c r="B77" s="1"/>
      <c r="C77" s="1"/>
      <c r="D77" s="1"/>
      <c r="E77" s="1"/>
      <c r="F77" s="1"/>
      <c r="G77" s="1"/>
      <c r="H77" s="1"/>
      <c r="I77" s="1"/>
      <c r="J77" s="3"/>
      <c r="K77" s="3"/>
      <c r="L77" s="3"/>
      <c r="M77" s="1"/>
      <c r="N77" s="1"/>
      <c r="O77" s="1"/>
      <c r="P77" s="1"/>
      <c r="Q77" s="1"/>
      <c r="R77" s="4"/>
      <c r="S77" s="4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>
      <c r="A78" s="1"/>
      <c r="B78" s="1"/>
      <c r="C78" s="1"/>
      <c r="D78" s="1"/>
      <c r="E78" s="1"/>
      <c r="F78" s="1"/>
      <c r="G78" s="1"/>
      <c r="H78" s="1"/>
      <c r="I78" s="1"/>
      <c r="J78" s="3"/>
      <c r="K78" s="3"/>
      <c r="L78" s="3"/>
      <c r="M78" s="1"/>
      <c r="N78" s="1"/>
      <c r="O78" s="1"/>
      <c r="P78" s="1"/>
      <c r="Q78" s="1"/>
      <c r="R78" s="4"/>
      <c r="S78" s="4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>
      <c r="A79" s="1"/>
      <c r="B79" s="1"/>
      <c r="C79" s="1"/>
      <c r="D79" s="1"/>
      <c r="E79" s="1"/>
      <c r="F79" s="1"/>
      <c r="G79" s="1"/>
      <c r="H79" s="1"/>
      <c r="I79" s="1"/>
      <c r="J79" s="3"/>
      <c r="K79" s="3"/>
      <c r="L79" s="3"/>
      <c r="M79" s="1"/>
      <c r="N79" s="1"/>
      <c r="O79" s="1"/>
      <c r="P79" s="1"/>
      <c r="Q79" s="1"/>
      <c r="R79" s="4"/>
      <c r="S79" s="4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>
      <c r="A80" s="1"/>
      <c r="B80" s="1"/>
      <c r="C80" s="1"/>
      <c r="D80" s="1"/>
      <c r="E80" s="1"/>
      <c r="F80" s="1"/>
      <c r="G80" s="1"/>
      <c r="H80" s="1"/>
      <c r="I80" s="1"/>
      <c r="J80" s="3"/>
      <c r="K80" s="3"/>
      <c r="L80" s="3"/>
      <c r="M80" s="1"/>
      <c r="N80" s="1"/>
      <c r="O80" s="1"/>
      <c r="P80" s="1"/>
      <c r="Q80" s="1"/>
      <c r="R80" s="4"/>
      <c r="S80" s="4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>
      <c r="A81" s="1"/>
      <c r="B81" s="1"/>
      <c r="C81" s="1"/>
      <c r="D81" s="1"/>
      <c r="E81" s="1"/>
      <c r="F81" s="1"/>
      <c r="G81" s="1"/>
      <c r="H81" s="1"/>
      <c r="I81" s="1"/>
      <c r="J81" s="3"/>
      <c r="K81" s="3"/>
      <c r="L81" s="3"/>
      <c r="M81" s="1"/>
      <c r="N81" s="1"/>
      <c r="O81" s="1"/>
      <c r="P81" s="1"/>
      <c r="Q81" s="1"/>
      <c r="R81" s="4"/>
      <c r="S81" s="4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>
      <c r="A82" s="1"/>
      <c r="B82" s="1"/>
      <c r="C82" s="1"/>
      <c r="D82" s="1"/>
      <c r="E82" s="1"/>
      <c r="F82" s="1"/>
      <c r="G82" s="1"/>
      <c r="H82" s="1"/>
      <c r="I82" s="1"/>
      <c r="J82" s="3"/>
      <c r="K82" s="3"/>
      <c r="L82" s="3"/>
      <c r="M82" s="1"/>
      <c r="N82" s="1"/>
      <c r="O82" s="1"/>
      <c r="P82" s="1"/>
      <c r="Q82" s="1"/>
      <c r="R82" s="4"/>
      <c r="S82" s="4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>
      <c r="A83" s="1"/>
      <c r="B83" s="1"/>
      <c r="C83" s="1"/>
      <c r="D83" s="1"/>
      <c r="E83" s="1"/>
      <c r="F83" s="1"/>
      <c r="G83" s="1"/>
      <c r="H83" s="1"/>
      <c r="I83" s="1"/>
      <c r="J83" s="3"/>
      <c r="K83" s="3"/>
      <c r="L83" s="3"/>
      <c r="M83" s="1"/>
      <c r="N83" s="1"/>
      <c r="O83" s="1"/>
      <c r="P83" s="1"/>
      <c r="Q83" s="1"/>
      <c r="R83" s="4"/>
      <c r="S83" s="4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>
      <c r="A84" s="1"/>
      <c r="B84" s="1"/>
      <c r="C84" s="1"/>
      <c r="D84" s="1"/>
      <c r="E84" s="1"/>
      <c r="F84" s="1"/>
      <c r="G84" s="1"/>
      <c r="H84" s="1"/>
      <c r="I84" s="1"/>
      <c r="J84" s="3"/>
      <c r="K84" s="3"/>
      <c r="L84" s="3"/>
      <c r="M84" s="1"/>
      <c r="N84" s="1"/>
      <c r="O84" s="1"/>
      <c r="P84" s="1"/>
      <c r="Q84" s="1"/>
      <c r="R84" s="4"/>
      <c r="S84" s="4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>
      <c r="A85" s="1"/>
      <c r="B85" s="1"/>
      <c r="C85" s="1"/>
      <c r="D85" s="1"/>
      <c r="E85" s="1"/>
      <c r="F85" s="1"/>
      <c r="G85" s="1"/>
      <c r="H85" s="1"/>
      <c r="I85" s="1"/>
      <c r="J85" s="3"/>
      <c r="K85" s="3"/>
      <c r="L85" s="3"/>
      <c r="M85" s="1"/>
      <c r="N85" s="1"/>
      <c r="O85" s="1"/>
      <c r="P85" s="1"/>
      <c r="Q85" s="1"/>
      <c r="R85" s="4"/>
      <c r="S85" s="4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>
      <c r="A86" s="1"/>
      <c r="B86" s="1"/>
      <c r="C86" s="1"/>
      <c r="D86" s="1"/>
      <c r="E86" s="1"/>
      <c r="F86" s="1"/>
      <c r="G86" s="1"/>
      <c r="H86" s="1"/>
      <c r="I86" s="1"/>
      <c r="J86" s="3"/>
      <c r="K86" s="3"/>
      <c r="L86" s="3"/>
      <c r="M86" s="1"/>
      <c r="N86" s="1"/>
      <c r="O86" s="1"/>
      <c r="P86" s="1"/>
      <c r="Q86" s="1"/>
      <c r="R86" s="4"/>
      <c r="S86" s="4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>
      <c r="A87" s="1"/>
      <c r="B87" s="1"/>
      <c r="C87" s="1"/>
      <c r="D87" s="1"/>
      <c r="E87" s="1"/>
      <c r="F87" s="1"/>
      <c r="G87" s="1"/>
      <c r="H87" s="1"/>
      <c r="I87" s="1"/>
      <c r="J87" s="3"/>
      <c r="K87" s="3"/>
      <c r="L87" s="3"/>
      <c r="M87" s="1"/>
      <c r="N87" s="1"/>
      <c r="O87" s="1"/>
      <c r="P87" s="1"/>
      <c r="Q87" s="1"/>
      <c r="R87" s="4"/>
      <c r="S87" s="4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>
      <c r="A88" s="1"/>
      <c r="B88" s="1"/>
      <c r="C88" s="1"/>
      <c r="D88" s="1"/>
      <c r="E88" s="1"/>
      <c r="F88" s="1"/>
      <c r="G88" s="1"/>
      <c r="H88" s="1"/>
      <c r="I88" s="1"/>
      <c r="J88" s="3"/>
      <c r="K88" s="3"/>
      <c r="L88" s="3"/>
      <c r="M88" s="1"/>
      <c r="N88" s="1"/>
      <c r="O88" s="1"/>
      <c r="P88" s="1"/>
      <c r="Q88" s="1"/>
      <c r="R88" s="4"/>
      <c r="S88" s="4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>
      <c r="A89" s="1"/>
      <c r="B89" s="1"/>
      <c r="C89" s="1"/>
      <c r="D89" s="1"/>
      <c r="E89" s="1"/>
      <c r="F89" s="1"/>
      <c r="G89" s="1"/>
      <c r="H89" s="1"/>
      <c r="I89" s="1"/>
      <c r="J89" s="3"/>
      <c r="K89" s="3"/>
      <c r="L89" s="3"/>
      <c r="M89" s="1"/>
      <c r="N89" s="1"/>
      <c r="O89" s="1"/>
      <c r="P89" s="1"/>
      <c r="Q89" s="1"/>
      <c r="R89" s="4"/>
      <c r="S89" s="4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>
      <c r="A90" s="1"/>
      <c r="B90" s="1"/>
      <c r="C90" s="1"/>
      <c r="D90" s="1"/>
      <c r="E90" s="1"/>
      <c r="F90" s="1"/>
      <c r="G90" s="1"/>
      <c r="H90" s="1"/>
      <c r="I90" s="1"/>
      <c r="J90" s="3"/>
      <c r="K90" s="3"/>
      <c r="L90" s="3"/>
      <c r="M90" s="1"/>
      <c r="N90" s="1"/>
      <c r="O90" s="1"/>
      <c r="P90" s="1"/>
      <c r="Q90" s="1"/>
      <c r="R90" s="4"/>
      <c r="S90" s="4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>
      <c r="A91" s="1"/>
      <c r="B91" s="1"/>
      <c r="C91" s="1"/>
      <c r="D91" s="1"/>
      <c r="E91" s="1"/>
      <c r="F91" s="1"/>
      <c r="G91" s="1"/>
      <c r="H91" s="1"/>
      <c r="I91" s="1"/>
      <c r="J91" s="3"/>
      <c r="K91" s="3"/>
      <c r="L91" s="3"/>
      <c r="M91" s="1"/>
      <c r="N91" s="1"/>
      <c r="O91" s="1"/>
      <c r="P91" s="1"/>
      <c r="Q91" s="1"/>
      <c r="R91" s="4"/>
      <c r="S91" s="4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>
      <c r="A92" s="1"/>
      <c r="B92" s="1"/>
      <c r="C92" s="1"/>
      <c r="D92" s="1"/>
      <c r="E92" s="1"/>
      <c r="F92" s="1"/>
      <c r="G92" s="1"/>
      <c r="H92" s="1"/>
      <c r="I92" s="1"/>
      <c r="J92" s="3"/>
      <c r="K92" s="3"/>
      <c r="L92" s="3"/>
      <c r="M92" s="1"/>
      <c r="N92" s="1"/>
      <c r="O92" s="1"/>
      <c r="P92" s="1"/>
      <c r="Q92" s="1"/>
      <c r="R92" s="4"/>
      <c r="S92" s="4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>
      <c r="A93" s="1"/>
      <c r="B93" s="1"/>
      <c r="C93" s="1"/>
      <c r="D93" s="1"/>
      <c r="E93" s="1"/>
      <c r="F93" s="1"/>
      <c r="G93" s="1"/>
      <c r="H93" s="1"/>
      <c r="I93" s="1"/>
      <c r="J93" s="3"/>
      <c r="K93" s="3"/>
      <c r="L93" s="3"/>
      <c r="M93" s="1"/>
      <c r="N93" s="1"/>
      <c r="O93" s="1"/>
      <c r="P93" s="1"/>
      <c r="Q93" s="1"/>
      <c r="R93" s="4"/>
      <c r="S93" s="4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>
      <c r="A94" s="1"/>
      <c r="B94" s="1"/>
      <c r="C94" s="1"/>
      <c r="D94" s="1"/>
      <c r="E94" s="1"/>
      <c r="F94" s="1"/>
      <c r="G94" s="1"/>
      <c r="H94" s="1"/>
      <c r="I94" s="1"/>
      <c r="J94" s="3"/>
      <c r="K94" s="3"/>
      <c r="L94" s="3"/>
      <c r="M94" s="1"/>
      <c r="N94" s="1"/>
      <c r="O94" s="1"/>
      <c r="P94" s="1"/>
      <c r="Q94" s="1"/>
      <c r="R94" s="4"/>
      <c r="S94" s="4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>
      <c r="A95" s="1"/>
      <c r="B95" s="1"/>
      <c r="C95" s="1"/>
      <c r="D95" s="1"/>
      <c r="E95" s="1"/>
      <c r="F95" s="1"/>
      <c r="G95" s="1"/>
      <c r="H95" s="1"/>
      <c r="I95" s="1"/>
      <c r="J95" s="3"/>
      <c r="K95" s="3"/>
      <c r="L95" s="3"/>
      <c r="M95" s="1"/>
      <c r="N95" s="1"/>
      <c r="O95" s="1"/>
      <c r="P95" s="1"/>
      <c r="Q95" s="1"/>
      <c r="R95" s="4"/>
      <c r="S95" s="4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>
      <c r="A96" s="1"/>
      <c r="B96" s="1"/>
      <c r="C96" s="1"/>
      <c r="D96" s="1"/>
      <c r="E96" s="1"/>
      <c r="F96" s="1"/>
      <c r="G96" s="1"/>
      <c r="H96" s="1"/>
      <c r="I96" s="1"/>
      <c r="J96" s="3"/>
      <c r="K96" s="3"/>
      <c r="L96" s="3"/>
      <c r="M96" s="1"/>
      <c r="N96" s="1"/>
      <c r="O96" s="1"/>
      <c r="P96" s="1"/>
      <c r="Q96" s="1"/>
      <c r="R96" s="4"/>
      <c r="S96" s="4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>
      <c r="A97" s="1"/>
      <c r="B97" s="1"/>
      <c r="C97" s="1"/>
      <c r="D97" s="1"/>
      <c r="E97" s="1"/>
      <c r="F97" s="1"/>
      <c r="G97" s="1"/>
      <c r="H97" s="1"/>
      <c r="I97" s="1"/>
      <c r="J97" s="3"/>
      <c r="K97" s="3"/>
      <c r="L97" s="3"/>
      <c r="M97" s="1"/>
      <c r="N97" s="1"/>
      <c r="O97" s="1"/>
      <c r="P97" s="1"/>
      <c r="Q97" s="1"/>
      <c r="R97" s="4"/>
      <c r="S97" s="4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>
      <c r="A98" s="1"/>
      <c r="B98" s="1"/>
      <c r="C98" s="1"/>
      <c r="D98" s="1"/>
      <c r="E98" s="1"/>
      <c r="F98" s="1"/>
      <c r="G98" s="1"/>
      <c r="H98" s="1"/>
      <c r="I98" s="1"/>
      <c r="J98" s="3"/>
      <c r="K98" s="3"/>
      <c r="L98" s="3"/>
      <c r="M98" s="1"/>
      <c r="N98" s="1"/>
      <c r="O98" s="1"/>
      <c r="P98" s="1"/>
      <c r="Q98" s="1"/>
      <c r="R98" s="4"/>
      <c r="S98" s="4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>
      <c r="A99" s="1"/>
      <c r="B99" s="1"/>
      <c r="C99" s="1"/>
      <c r="D99" s="1"/>
      <c r="E99" s="1"/>
      <c r="F99" s="1"/>
      <c r="G99" s="1"/>
      <c r="H99" s="1"/>
      <c r="I99" s="1"/>
      <c r="J99" s="3"/>
      <c r="K99" s="3"/>
      <c r="L99" s="3"/>
      <c r="M99" s="1"/>
      <c r="N99" s="1"/>
      <c r="O99" s="1"/>
      <c r="P99" s="1"/>
      <c r="Q99" s="1"/>
      <c r="R99" s="4"/>
      <c r="S99" s="4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>
      <c r="A100" s="1"/>
      <c r="B100" s="1"/>
      <c r="C100" s="1"/>
      <c r="D100" s="1"/>
      <c r="E100" s="1"/>
      <c r="F100" s="1"/>
      <c r="G100" s="1"/>
      <c r="H100" s="1"/>
      <c r="I100" s="1"/>
      <c r="J100" s="3"/>
      <c r="K100" s="3"/>
      <c r="L100" s="3"/>
      <c r="M100" s="1"/>
      <c r="N100" s="1"/>
      <c r="O100" s="1"/>
      <c r="P100" s="1"/>
      <c r="Q100" s="1"/>
      <c r="R100" s="4"/>
      <c r="S100" s="4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>
      <c r="A101" s="1"/>
      <c r="B101" s="1"/>
      <c r="C101" s="1"/>
      <c r="D101" s="1"/>
      <c r="E101" s="1"/>
      <c r="F101" s="1"/>
      <c r="G101" s="1"/>
      <c r="H101" s="1"/>
      <c r="I101" s="1"/>
      <c r="J101" s="3"/>
      <c r="K101" s="3"/>
      <c r="L101" s="3"/>
      <c r="M101" s="1"/>
      <c r="N101" s="1"/>
      <c r="O101" s="1"/>
      <c r="P101" s="1"/>
      <c r="Q101" s="1"/>
      <c r="R101" s="4"/>
      <c r="S101" s="4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>
      <c r="A102" s="1"/>
      <c r="B102" s="1"/>
      <c r="C102" s="1"/>
      <c r="D102" s="1"/>
      <c r="E102" s="1"/>
      <c r="F102" s="1"/>
      <c r="G102" s="1"/>
      <c r="H102" s="1"/>
      <c r="I102" s="1"/>
      <c r="J102" s="3"/>
      <c r="K102" s="3"/>
      <c r="L102" s="3"/>
      <c r="M102" s="1"/>
      <c r="N102" s="1"/>
      <c r="O102" s="1"/>
      <c r="P102" s="1"/>
      <c r="Q102" s="1"/>
      <c r="R102" s="4"/>
      <c r="S102" s="4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>
      <c r="A103" s="1"/>
      <c r="B103" s="1"/>
      <c r="C103" s="1"/>
      <c r="D103" s="1"/>
      <c r="E103" s="1"/>
      <c r="F103" s="1"/>
      <c r="G103" s="1"/>
      <c r="H103" s="1"/>
      <c r="I103" s="1"/>
      <c r="J103" s="3"/>
      <c r="K103" s="3"/>
      <c r="L103" s="3"/>
      <c r="M103" s="1"/>
      <c r="N103" s="1"/>
      <c r="O103" s="1"/>
      <c r="P103" s="1"/>
      <c r="Q103" s="1"/>
      <c r="R103" s="4"/>
      <c r="S103" s="4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>
      <c r="A104" s="1"/>
      <c r="B104" s="1"/>
      <c r="C104" s="1"/>
      <c r="D104" s="1"/>
      <c r="E104" s="1"/>
      <c r="F104" s="1"/>
      <c r="G104" s="1"/>
      <c r="H104" s="1"/>
      <c r="I104" s="1"/>
      <c r="J104" s="3"/>
      <c r="K104" s="3"/>
      <c r="L104" s="3"/>
      <c r="M104" s="1"/>
      <c r="N104" s="1"/>
      <c r="O104" s="1"/>
      <c r="P104" s="1"/>
      <c r="Q104" s="1"/>
      <c r="R104" s="4"/>
      <c r="S104" s="4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>
      <c r="A105" s="1"/>
      <c r="B105" s="1"/>
      <c r="C105" s="1"/>
      <c r="D105" s="1"/>
      <c r="E105" s="1"/>
      <c r="F105" s="1"/>
      <c r="G105" s="1"/>
      <c r="H105" s="1"/>
      <c r="I105" s="1"/>
      <c r="J105" s="3"/>
      <c r="K105" s="3"/>
      <c r="L105" s="3"/>
      <c r="M105" s="1"/>
      <c r="N105" s="1"/>
      <c r="O105" s="1"/>
      <c r="P105" s="1"/>
      <c r="Q105" s="1"/>
      <c r="R105" s="4"/>
      <c r="S105" s="4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>
      <c r="A106" s="1"/>
      <c r="B106" s="1"/>
      <c r="C106" s="1"/>
      <c r="D106" s="1"/>
      <c r="E106" s="1"/>
      <c r="F106" s="1"/>
      <c r="G106" s="1"/>
      <c r="H106" s="1"/>
      <c r="I106" s="1"/>
      <c r="J106" s="3"/>
      <c r="K106" s="3"/>
      <c r="L106" s="3"/>
      <c r="M106" s="1"/>
      <c r="N106" s="1"/>
      <c r="O106" s="1"/>
      <c r="P106" s="1"/>
      <c r="Q106" s="1"/>
      <c r="R106" s="4"/>
      <c r="S106" s="4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>
      <c r="A107" s="1"/>
      <c r="B107" s="1"/>
      <c r="C107" s="1"/>
      <c r="D107" s="1"/>
      <c r="E107" s="1"/>
      <c r="F107" s="1"/>
      <c r="G107" s="1"/>
      <c r="H107" s="1"/>
      <c r="I107" s="1"/>
      <c r="J107" s="3"/>
      <c r="K107" s="3"/>
      <c r="L107" s="3"/>
      <c r="M107" s="1"/>
      <c r="N107" s="1"/>
      <c r="O107" s="1"/>
      <c r="P107" s="1"/>
      <c r="Q107" s="1"/>
      <c r="R107" s="4"/>
      <c r="S107" s="4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>
      <c r="A108" s="1"/>
      <c r="B108" s="1"/>
      <c r="C108" s="1"/>
      <c r="D108" s="1"/>
      <c r="E108" s="1"/>
      <c r="F108" s="1"/>
      <c r="G108" s="1"/>
      <c r="H108" s="1"/>
      <c r="I108" s="1"/>
      <c r="J108" s="3"/>
      <c r="K108" s="3"/>
      <c r="L108" s="3"/>
      <c r="M108" s="1"/>
      <c r="N108" s="1"/>
      <c r="O108" s="1"/>
      <c r="P108" s="1"/>
      <c r="Q108" s="1"/>
      <c r="R108" s="4"/>
      <c r="S108" s="4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>
      <c r="A109" s="1"/>
      <c r="B109" s="1"/>
      <c r="C109" s="1"/>
      <c r="D109" s="1"/>
      <c r="E109" s="1"/>
      <c r="F109" s="1"/>
      <c r="G109" s="1"/>
      <c r="H109" s="1"/>
      <c r="I109" s="1"/>
      <c r="J109" s="3"/>
      <c r="K109" s="3"/>
      <c r="L109" s="3"/>
      <c r="M109" s="1"/>
      <c r="N109" s="1"/>
      <c r="O109" s="1"/>
      <c r="P109" s="1"/>
      <c r="Q109" s="1"/>
      <c r="R109" s="4"/>
      <c r="S109" s="4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>
      <c r="A110" s="1"/>
      <c r="B110" s="1"/>
      <c r="C110" s="1"/>
      <c r="D110" s="1"/>
      <c r="E110" s="1"/>
      <c r="F110" s="1"/>
      <c r="G110" s="1"/>
      <c r="H110" s="1"/>
      <c r="I110" s="1"/>
      <c r="J110" s="3"/>
      <c r="K110" s="3"/>
      <c r="L110" s="3"/>
      <c r="M110" s="1"/>
      <c r="N110" s="1"/>
      <c r="O110" s="1"/>
      <c r="P110" s="1"/>
      <c r="Q110" s="1"/>
      <c r="R110" s="4"/>
      <c r="S110" s="4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>
      <c r="A111" s="1"/>
      <c r="B111" s="1"/>
      <c r="C111" s="1"/>
      <c r="D111" s="1"/>
      <c r="E111" s="1"/>
      <c r="F111" s="1"/>
      <c r="G111" s="1"/>
      <c r="H111" s="1"/>
      <c r="I111" s="1"/>
      <c r="J111" s="3"/>
      <c r="K111" s="3"/>
      <c r="L111" s="3"/>
      <c r="M111" s="1"/>
      <c r="N111" s="1"/>
      <c r="O111" s="1"/>
      <c r="P111" s="1"/>
      <c r="Q111" s="1"/>
      <c r="R111" s="4"/>
      <c r="S111" s="4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>
      <c r="A112" s="1"/>
      <c r="B112" s="1"/>
      <c r="C112" s="1"/>
      <c r="D112" s="1"/>
      <c r="E112" s="1"/>
      <c r="F112" s="1"/>
      <c r="G112" s="1"/>
      <c r="H112" s="1"/>
      <c r="I112" s="1"/>
      <c r="J112" s="3"/>
      <c r="K112" s="3"/>
      <c r="L112" s="3"/>
      <c r="M112" s="1"/>
      <c r="N112" s="1"/>
      <c r="O112" s="1"/>
      <c r="P112" s="1"/>
      <c r="Q112" s="1"/>
      <c r="R112" s="4"/>
      <c r="S112" s="4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>
      <c r="A113" s="1"/>
      <c r="B113" s="1"/>
      <c r="C113" s="1"/>
      <c r="D113" s="1"/>
      <c r="E113" s="1"/>
      <c r="F113" s="1"/>
      <c r="G113" s="1"/>
      <c r="H113" s="1"/>
      <c r="I113" s="1"/>
      <c r="J113" s="3"/>
      <c r="K113" s="3"/>
      <c r="L113" s="3"/>
      <c r="M113" s="1"/>
      <c r="N113" s="1"/>
      <c r="O113" s="1"/>
      <c r="P113" s="1"/>
      <c r="Q113" s="1"/>
      <c r="R113" s="4"/>
      <c r="S113" s="4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>
      <c r="A114" s="1"/>
      <c r="B114" s="1"/>
      <c r="C114" s="1"/>
      <c r="D114" s="1"/>
      <c r="E114" s="1"/>
      <c r="F114" s="1"/>
      <c r="G114" s="1"/>
      <c r="H114" s="1"/>
      <c r="I114" s="1"/>
      <c r="J114" s="3"/>
      <c r="K114" s="3"/>
      <c r="L114" s="3"/>
      <c r="M114" s="1"/>
      <c r="N114" s="1"/>
      <c r="O114" s="1"/>
      <c r="P114" s="1"/>
      <c r="Q114" s="1"/>
      <c r="R114" s="4"/>
      <c r="S114" s="4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>
      <c r="A115" s="1"/>
      <c r="B115" s="1"/>
      <c r="C115" s="1"/>
      <c r="D115" s="1"/>
      <c r="E115" s="1"/>
      <c r="F115" s="1"/>
      <c r="G115" s="1"/>
      <c r="H115" s="1"/>
      <c r="I115" s="1"/>
      <c r="J115" s="3"/>
      <c r="K115" s="3"/>
      <c r="L115" s="3"/>
      <c r="M115" s="1"/>
      <c r="N115" s="1"/>
      <c r="O115" s="1"/>
      <c r="P115" s="1"/>
      <c r="Q115" s="1"/>
      <c r="R115" s="4"/>
      <c r="S115" s="4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>
      <c r="A116" s="1"/>
      <c r="B116" s="1"/>
      <c r="C116" s="1"/>
      <c r="D116" s="1"/>
      <c r="E116" s="1"/>
      <c r="F116" s="1"/>
      <c r="G116" s="1"/>
      <c r="H116" s="1"/>
      <c r="I116" s="1"/>
      <c r="J116" s="3"/>
      <c r="K116" s="3"/>
      <c r="L116" s="3"/>
      <c r="M116" s="1"/>
      <c r="N116" s="1"/>
      <c r="O116" s="1"/>
      <c r="P116" s="1"/>
      <c r="Q116" s="1"/>
      <c r="R116" s="4"/>
      <c r="S116" s="4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>
      <c r="A117" s="1"/>
      <c r="B117" s="1"/>
      <c r="C117" s="1"/>
      <c r="D117" s="1"/>
      <c r="E117" s="1"/>
      <c r="F117" s="1"/>
      <c r="G117" s="1"/>
      <c r="H117" s="1"/>
      <c r="I117" s="1"/>
      <c r="J117" s="3"/>
      <c r="K117" s="3"/>
      <c r="L117" s="3"/>
      <c r="M117" s="1"/>
      <c r="N117" s="1"/>
      <c r="O117" s="1"/>
      <c r="P117" s="1"/>
      <c r="Q117" s="1"/>
      <c r="R117" s="4"/>
      <c r="S117" s="4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>
      <c r="A118" s="1"/>
      <c r="B118" s="1"/>
      <c r="C118" s="1"/>
      <c r="D118" s="1"/>
      <c r="E118" s="1"/>
      <c r="F118" s="1"/>
      <c r="G118" s="1"/>
      <c r="H118" s="1"/>
      <c r="I118" s="1"/>
      <c r="J118" s="3"/>
      <c r="K118" s="3"/>
      <c r="L118" s="3"/>
      <c r="M118" s="1"/>
      <c r="N118" s="1"/>
      <c r="O118" s="1"/>
      <c r="P118" s="1"/>
      <c r="Q118" s="1"/>
      <c r="R118" s="4"/>
      <c r="S118" s="4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>
      <c r="A119" s="1"/>
      <c r="B119" s="1"/>
      <c r="C119" s="1"/>
      <c r="D119" s="1"/>
      <c r="E119" s="1"/>
      <c r="F119" s="1"/>
      <c r="G119" s="1"/>
      <c r="H119" s="1"/>
      <c r="I119" s="1"/>
      <c r="J119" s="3"/>
      <c r="K119" s="3"/>
      <c r="L119" s="3"/>
      <c r="M119" s="1"/>
      <c r="N119" s="1"/>
      <c r="O119" s="1"/>
      <c r="P119" s="1"/>
      <c r="Q119" s="1"/>
      <c r="R119" s="4"/>
      <c r="S119" s="4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>
      <c r="A120" s="1"/>
      <c r="B120" s="1"/>
      <c r="C120" s="1"/>
      <c r="D120" s="1"/>
      <c r="E120" s="1"/>
      <c r="F120" s="1"/>
      <c r="G120" s="1"/>
      <c r="H120" s="1"/>
      <c r="I120" s="1"/>
      <c r="J120" s="3"/>
      <c r="K120" s="3"/>
      <c r="L120" s="3"/>
      <c r="M120" s="1"/>
      <c r="N120" s="1"/>
      <c r="O120" s="1"/>
      <c r="P120" s="1"/>
      <c r="Q120" s="1"/>
      <c r="R120" s="4"/>
      <c r="S120" s="4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>
      <c r="A121" s="1"/>
      <c r="B121" s="1"/>
      <c r="C121" s="1"/>
      <c r="D121" s="1"/>
      <c r="E121" s="1"/>
      <c r="F121" s="1"/>
      <c r="G121" s="1"/>
      <c r="H121" s="1"/>
      <c r="I121" s="1"/>
      <c r="J121" s="3"/>
      <c r="K121" s="3"/>
      <c r="L121" s="3"/>
      <c r="M121" s="1"/>
      <c r="N121" s="1"/>
      <c r="O121" s="1"/>
      <c r="P121" s="1"/>
      <c r="Q121" s="1"/>
      <c r="R121" s="4"/>
      <c r="S121" s="4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>
      <c r="A122" s="1"/>
      <c r="B122" s="1"/>
      <c r="C122" s="1"/>
      <c r="D122" s="1"/>
      <c r="E122" s="1"/>
      <c r="F122" s="1"/>
      <c r="G122" s="1"/>
      <c r="H122" s="1"/>
      <c r="I122" s="1"/>
      <c r="J122" s="3"/>
      <c r="K122" s="3"/>
      <c r="L122" s="3"/>
      <c r="M122" s="1"/>
      <c r="N122" s="1"/>
      <c r="O122" s="1"/>
      <c r="P122" s="1"/>
      <c r="Q122" s="1"/>
      <c r="R122" s="4"/>
      <c r="S122" s="4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>
      <c r="A123" s="1"/>
      <c r="B123" s="1"/>
      <c r="C123" s="1"/>
      <c r="D123" s="1"/>
      <c r="E123" s="1"/>
      <c r="F123" s="1"/>
      <c r="G123" s="1"/>
      <c r="H123" s="1"/>
      <c r="I123" s="1"/>
      <c r="J123" s="3"/>
      <c r="K123" s="3"/>
      <c r="L123" s="3"/>
      <c r="M123" s="1"/>
      <c r="N123" s="1"/>
      <c r="O123" s="1"/>
      <c r="P123" s="1"/>
      <c r="Q123" s="1"/>
      <c r="R123" s="4"/>
      <c r="S123" s="4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>
      <c r="A124" s="1"/>
      <c r="B124" s="1"/>
      <c r="C124" s="1"/>
      <c r="D124" s="1"/>
      <c r="E124" s="1"/>
      <c r="F124" s="1"/>
      <c r="G124" s="1"/>
      <c r="H124" s="1"/>
      <c r="I124" s="1"/>
      <c r="J124" s="3"/>
      <c r="K124" s="3"/>
      <c r="L124" s="3"/>
      <c r="M124" s="1"/>
      <c r="N124" s="1"/>
      <c r="O124" s="1"/>
      <c r="P124" s="1"/>
      <c r="Q124" s="1"/>
      <c r="R124" s="4"/>
      <c r="S124" s="4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>
      <c r="A125" s="1"/>
      <c r="B125" s="1"/>
      <c r="C125" s="1"/>
      <c r="D125" s="1"/>
      <c r="E125" s="1"/>
      <c r="F125" s="1"/>
      <c r="G125" s="1"/>
      <c r="H125" s="1"/>
      <c r="I125" s="1"/>
      <c r="J125" s="3"/>
      <c r="K125" s="3"/>
      <c r="L125" s="3"/>
      <c r="M125" s="1"/>
      <c r="N125" s="1"/>
      <c r="O125" s="1"/>
      <c r="P125" s="1"/>
      <c r="Q125" s="1"/>
      <c r="R125" s="4"/>
      <c r="S125" s="4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>
      <c r="A126" s="1"/>
      <c r="B126" s="1"/>
      <c r="C126" s="1"/>
      <c r="D126" s="1"/>
      <c r="E126" s="1"/>
      <c r="F126" s="1"/>
      <c r="G126" s="1"/>
      <c r="H126" s="1"/>
      <c r="I126" s="1"/>
      <c r="J126" s="3"/>
      <c r="K126" s="3"/>
      <c r="L126" s="3"/>
      <c r="M126" s="1"/>
      <c r="N126" s="1"/>
      <c r="O126" s="1"/>
      <c r="P126" s="1"/>
      <c r="Q126" s="1"/>
      <c r="R126" s="4"/>
      <c r="S126" s="4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>
      <c r="A127" s="1"/>
      <c r="B127" s="1"/>
      <c r="C127" s="1"/>
      <c r="D127" s="1"/>
      <c r="E127" s="1"/>
      <c r="F127" s="1"/>
      <c r="G127" s="1"/>
      <c r="H127" s="1"/>
      <c r="I127" s="1"/>
      <c r="J127" s="3"/>
      <c r="K127" s="3"/>
      <c r="L127" s="3"/>
      <c r="M127" s="1"/>
      <c r="N127" s="1"/>
      <c r="O127" s="1"/>
      <c r="P127" s="1"/>
      <c r="Q127" s="1"/>
      <c r="R127" s="4"/>
      <c r="S127" s="4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>
      <c r="A128" s="1"/>
      <c r="B128" s="1"/>
      <c r="C128" s="1"/>
      <c r="D128" s="1"/>
      <c r="E128" s="1"/>
      <c r="F128" s="1"/>
      <c r="G128" s="1"/>
      <c r="H128" s="1"/>
      <c r="I128" s="1"/>
      <c r="J128" s="3"/>
      <c r="K128" s="3"/>
      <c r="L128" s="3"/>
      <c r="M128" s="1"/>
      <c r="N128" s="1"/>
      <c r="O128" s="1"/>
      <c r="P128" s="1"/>
      <c r="Q128" s="1"/>
      <c r="R128" s="4"/>
      <c r="S128" s="4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>
      <c r="A129" s="1"/>
      <c r="B129" s="1"/>
      <c r="C129" s="1"/>
      <c r="D129" s="1"/>
      <c r="E129" s="1"/>
      <c r="F129" s="1"/>
      <c r="G129" s="1"/>
      <c r="H129" s="1"/>
      <c r="I129" s="1"/>
      <c r="J129" s="3"/>
      <c r="K129" s="3"/>
      <c r="L129" s="3"/>
      <c r="M129" s="1"/>
      <c r="N129" s="1"/>
      <c r="O129" s="1"/>
      <c r="P129" s="1"/>
      <c r="Q129" s="1"/>
      <c r="R129" s="4"/>
      <c r="S129" s="4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>
      <c r="A130" s="1"/>
      <c r="B130" s="1"/>
      <c r="C130" s="1"/>
      <c r="D130" s="1"/>
      <c r="E130" s="1"/>
      <c r="F130" s="1"/>
      <c r="G130" s="1"/>
      <c r="H130" s="1"/>
      <c r="I130" s="1"/>
      <c r="J130" s="3"/>
      <c r="K130" s="3"/>
      <c r="L130" s="3"/>
      <c r="M130" s="1"/>
      <c r="N130" s="1"/>
      <c r="O130" s="1"/>
      <c r="P130" s="1"/>
      <c r="Q130" s="1"/>
      <c r="R130" s="4"/>
      <c r="S130" s="4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>
      <c r="A131" s="1"/>
      <c r="B131" s="1"/>
      <c r="C131" s="1"/>
      <c r="D131" s="1"/>
      <c r="E131" s="1"/>
      <c r="F131" s="1"/>
      <c r="G131" s="1"/>
      <c r="H131" s="1"/>
      <c r="I131" s="1"/>
      <c r="J131" s="3"/>
      <c r="K131" s="3"/>
      <c r="L131" s="3"/>
      <c r="M131" s="1"/>
      <c r="N131" s="1"/>
      <c r="O131" s="1"/>
      <c r="P131" s="1"/>
      <c r="Q131" s="1"/>
      <c r="R131" s="4"/>
      <c r="S131" s="4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>
      <c r="A132" s="1"/>
      <c r="B132" s="1"/>
      <c r="C132" s="1"/>
      <c r="D132" s="1"/>
      <c r="E132" s="1"/>
      <c r="F132" s="1"/>
      <c r="G132" s="1"/>
      <c r="H132" s="1"/>
      <c r="I132" s="1"/>
      <c r="J132" s="3"/>
      <c r="K132" s="3"/>
      <c r="L132" s="3"/>
      <c r="M132" s="1"/>
      <c r="N132" s="1"/>
      <c r="O132" s="1"/>
      <c r="P132" s="1"/>
      <c r="Q132" s="1"/>
      <c r="R132" s="4"/>
      <c r="S132" s="4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>
      <c r="A133" s="1"/>
      <c r="B133" s="1"/>
      <c r="C133" s="1"/>
      <c r="D133" s="1"/>
      <c r="E133" s="1"/>
      <c r="F133" s="1"/>
      <c r="G133" s="1"/>
      <c r="H133" s="1"/>
      <c r="I133" s="1"/>
      <c r="J133" s="3"/>
      <c r="K133" s="3"/>
      <c r="L133" s="3"/>
      <c r="M133" s="1"/>
      <c r="N133" s="1"/>
      <c r="O133" s="1"/>
      <c r="P133" s="1"/>
      <c r="Q133" s="1"/>
      <c r="R133" s="4"/>
      <c r="S133" s="4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>
      <c r="A134" s="1"/>
      <c r="B134" s="1"/>
      <c r="C134" s="1"/>
      <c r="D134" s="1"/>
      <c r="E134" s="1"/>
      <c r="F134" s="1"/>
      <c r="G134" s="1"/>
      <c r="H134" s="1"/>
      <c r="I134" s="1"/>
      <c r="J134" s="3"/>
      <c r="K134" s="3"/>
      <c r="L134" s="3"/>
      <c r="M134" s="1"/>
      <c r="N134" s="1"/>
      <c r="O134" s="1"/>
      <c r="P134" s="1"/>
      <c r="Q134" s="1"/>
      <c r="R134" s="4"/>
      <c r="S134" s="4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>
      <c r="A135" s="1"/>
      <c r="B135" s="1"/>
      <c r="C135" s="1"/>
      <c r="D135" s="1"/>
      <c r="E135" s="1"/>
      <c r="F135" s="1"/>
      <c r="G135" s="1"/>
      <c r="H135" s="1"/>
      <c r="I135" s="1"/>
      <c r="J135" s="3"/>
      <c r="K135" s="3"/>
      <c r="L135" s="3"/>
      <c r="M135" s="1"/>
      <c r="N135" s="1"/>
      <c r="O135" s="1"/>
      <c r="P135" s="1"/>
      <c r="Q135" s="1"/>
      <c r="R135" s="4"/>
      <c r="S135" s="4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>
      <c r="A136" s="1"/>
      <c r="B136" s="1"/>
      <c r="C136" s="1"/>
      <c r="D136" s="1"/>
      <c r="E136" s="1"/>
      <c r="F136" s="1"/>
      <c r="G136" s="1"/>
      <c r="H136" s="1"/>
      <c r="I136" s="1"/>
      <c r="J136" s="3"/>
      <c r="K136" s="3"/>
      <c r="L136" s="3"/>
      <c r="M136" s="1"/>
      <c r="N136" s="1"/>
      <c r="O136" s="1"/>
      <c r="P136" s="1"/>
      <c r="Q136" s="1"/>
      <c r="R136" s="4"/>
      <c r="S136" s="4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>
      <c r="A137" s="1"/>
      <c r="B137" s="1"/>
      <c r="C137" s="1"/>
      <c r="D137" s="1"/>
      <c r="E137" s="1"/>
      <c r="F137" s="1"/>
      <c r="G137" s="1"/>
      <c r="H137" s="1"/>
      <c r="I137" s="1"/>
      <c r="J137" s="3"/>
      <c r="K137" s="3"/>
      <c r="L137" s="3"/>
      <c r="M137" s="1"/>
      <c r="N137" s="1"/>
      <c r="O137" s="1"/>
      <c r="P137" s="1"/>
      <c r="Q137" s="1"/>
      <c r="R137" s="4"/>
      <c r="S137" s="4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>
      <c r="A138" s="1"/>
      <c r="B138" s="1"/>
      <c r="C138" s="1"/>
      <c r="D138" s="1"/>
      <c r="E138" s="1"/>
      <c r="F138" s="1"/>
      <c r="G138" s="1"/>
      <c r="H138" s="1"/>
      <c r="I138" s="1"/>
      <c r="J138" s="3"/>
      <c r="K138" s="3"/>
      <c r="L138" s="3"/>
      <c r="M138" s="1"/>
      <c r="N138" s="1"/>
      <c r="O138" s="1"/>
      <c r="P138" s="1"/>
      <c r="Q138" s="1"/>
      <c r="R138" s="4"/>
      <c r="S138" s="4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>
      <c r="A139" s="1"/>
      <c r="B139" s="1"/>
      <c r="C139" s="1"/>
      <c r="D139" s="1"/>
      <c r="E139" s="1"/>
      <c r="F139" s="1"/>
      <c r="G139" s="1"/>
      <c r="H139" s="1"/>
      <c r="I139" s="1"/>
      <c r="J139" s="3"/>
      <c r="K139" s="3"/>
      <c r="L139" s="3"/>
      <c r="M139" s="1"/>
      <c r="N139" s="1"/>
      <c r="O139" s="1"/>
      <c r="P139" s="1"/>
      <c r="Q139" s="1"/>
      <c r="R139" s="4"/>
      <c r="S139" s="4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>
      <c r="A140" s="1"/>
      <c r="B140" s="1"/>
      <c r="C140" s="1"/>
      <c r="D140" s="1"/>
      <c r="E140" s="1"/>
      <c r="F140" s="1"/>
      <c r="G140" s="1"/>
      <c r="H140" s="1"/>
      <c r="I140" s="1"/>
      <c r="J140" s="3"/>
      <c r="K140" s="3"/>
      <c r="L140" s="3"/>
      <c r="M140" s="1"/>
      <c r="N140" s="1"/>
      <c r="O140" s="1"/>
      <c r="P140" s="1"/>
      <c r="Q140" s="1"/>
      <c r="R140" s="4"/>
      <c r="S140" s="4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>
      <c r="A141" s="1"/>
      <c r="B141" s="1"/>
      <c r="C141" s="1"/>
      <c r="D141" s="1"/>
      <c r="E141" s="1"/>
      <c r="F141" s="1"/>
      <c r="G141" s="1"/>
      <c r="H141" s="1"/>
      <c r="I141" s="1"/>
      <c r="J141" s="3"/>
      <c r="K141" s="3"/>
      <c r="L141" s="3"/>
      <c r="M141" s="1"/>
      <c r="N141" s="1"/>
      <c r="O141" s="1"/>
      <c r="P141" s="1"/>
      <c r="Q141" s="1"/>
      <c r="R141" s="4"/>
      <c r="S141" s="4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>
      <c r="A142" s="1"/>
      <c r="B142" s="1"/>
      <c r="C142" s="1"/>
      <c r="D142" s="1"/>
      <c r="E142" s="1"/>
      <c r="F142" s="1"/>
      <c r="G142" s="1"/>
      <c r="H142" s="1"/>
      <c r="I142" s="1"/>
      <c r="J142" s="3"/>
      <c r="K142" s="3"/>
      <c r="L142" s="3"/>
      <c r="M142" s="1"/>
      <c r="N142" s="1"/>
      <c r="O142" s="1"/>
      <c r="P142" s="1"/>
      <c r="Q142" s="1"/>
      <c r="R142" s="4"/>
      <c r="S142" s="4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>
      <c r="A143" s="1"/>
      <c r="B143" s="1"/>
      <c r="C143" s="1"/>
      <c r="D143" s="1"/>
      <c r="E143" s="1"/>
      <c r="F143" s="1"/>
      <c r="G143" s="1"/>
      <c r="H143" s="1"/>
      <c r="I143" s="1"/>
      <c r="J143" s="3"/>
      <c r="K143" s="3"/>
      <c r="L143" s="3"/>
      <c r="M143" s="1"/>
      <c r="N143" s="1"/>
      <c r="O143" s="1"/>
      <c r="P143" s="1"/>
      <c r="Q143" s="1"/>
      <c r="R143" s="4"/>
      <c r="S143" s="4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>
      <c r="A144" s="1"/>
      <c r="B144" s="1"/>
      <c r="C144" s="1"/>
      <c r="D144" s="1"/>
      <c r="E144" s="1"/>
      <c r="F144" s="1"/>
      <c r="G144" s="1"/>
      <c r="H144" s="1"/>
      <c r="I144" s="1"/>
      <c r="J144" s="3"/>
      <c r="K144" s="3"/>
      <c r="L144" s="3"/>
      <c r="M144" s="1"/>
      <c r="N144" s="1"/>
      <c r="O144" s="1"/>
      <c r="P144" s="1"/>
      <c r="Q144" s="1"/>
      <c r="R144" s="4"/>
      <c r="S144" s="4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>
      <c r="A145" s="1"/>
      <c r="B145" s="1"/>
      <c r="C145" s="1"/>
      <c r="D145" s="1"/>
      <c r="E145" s="1"/>
      <c r="F145" s="1"/>
      <c r="G145" s="1"/>
      <c r="H145" s="1"/>
      <c r="I145" s="1"/>
      <c r="J145" s="3"/>
      <c r="K145" s="3"/>
      <c r="L145" s="3"/>
      <c r="M145" s="1"/>
      <c r="N145" s="1"/>
      <c r="O145" s="1"/>
      <c r="P145" s="1"/>
      <c r="Q145" s="1"/>
      <c r="R145" s="4"/>
      <c r="S145" s="4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>
      <c r="A146" s="1"/>
      <c r="B146" s="1"/>
      <c r="C146" s="1"/>
      <c r="D146" s="1"/>
      <c r="E146" s="1"/>
      <c r="F146" s="1"/>
      <c r="G146" s="1"/>
      <c r="H146" s="1"/>
      <c r="I146" s="1"/>
      <c r="J146" s="3"/>
      <c r="K146" s="3"/>
      <c r="L146" s="3"/>
      <c r="M146" s="1"/>
      <c r="N146" s="1"/>
      <c r="O146" s="1"/>
      <c r="P146" s="1"/>
      <c r="Q146" s="1"/>
      <c r="R146" s="4"/>
      <c r="S146" s="4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>
      <c r="A147" s="1"/>
      <c r="B147" s="1"/>
      <c r="C147" s="1"/>
      <c r="D147" s="1"/>
      <c r="E147" s="1"/>
      <c r="F147" s="1"/>
      <c r="G147" s="1"/>
      <c r="H147" s="1"/>
      <c r="I147" s="1"/>
      <c r="J147" s="3"/>
      <c r="K147" s="3"/>
      <c r="L147" s="3"/>
      <c r="M147" s="1"/>
      <c r="N147" s="1"/>
      <c r="O147" s="1"/>
      <c r="P147" s="1"/>
      <c r="Q147" s="1"/>
      <c r="R147" s="4"/>
      <c r="S147" s="4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>
      <c r="A148" s="1"/>
      <c r="B148" s="1"/>
      <c r="C148" s="1"/>
      <c r="D148" s="1"/>
      <c r="E148" s="1"/>
      <c r="F148" s="1"/>
      <c r="G148" s="1"/>
      <c r="H148" s="1"/>
      <c r="I148" s="1"/>
      <c r="J148" s="3"/>
      <c r="K148" s="3"/>
      <c r="L148" s="3"/>
      <c r="M148" s="1"/>
      <c r="N148" s="1"/>
      <c r="O148" s="1"/>
      <c r="P148" s="1"/>
      <c r="Q148" s="1"/>
      <c r="R148" s="4"/>
      <c r="S148" s="4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>
      <c r="A149" s="1"/>
      <c r="B149" s="1"/>
      <c r="C149" s="1"/>
      <c r="D149" s="1"/>
      <c r="E149" s="1"/>
      <c r="F149" s="1"/>
      <c r="G149" s="1"/>
      <c r="H149" s="1"/>
      <c r="I149" s="1"/>
      <c r="J149" s="3"/>
      <c r="K149" s="3"/>
      <c r="L149" s="3"/>
      <c r="M149" s="1"/>
      <c r="N149" s="1"/>
      <c r="O149" s="1"/>
      <c r="P149" s="1"/>
      <c r="Q149" s="1"/>
      <c r="R149" s="4"/>
      <c r="S149" s="4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>
      <c r="A150" s="1"/>
      <c r="B150" s="1"/>
      <c r="C150" s="1"/>
      <c r="D150" s="1"/>
      <c r="E150" s="1"/>
      <c r="F150" s="1"/>
      <c r="G150" s="1"/>
      <c r="H150" s="1"/>
      <c r="I150" s="1"/>
      <c r="J150" s="3"/>
      <c r="K150" s="3"/>
      <c r="L150" s="3"/>
      <c r="M150" s="1"/>
      <c r="N150" s="1"/>
      <c r="O150" s="1"/>
      <c r="P150" s="1"/>
      <c r="Q150" s="1"/>
      <c r="R150" s="4"/>
      <c r="S150" s="4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>
      <c r="A151" s="1"/>
      <c r="B151" s="1"/>
      <c r="C151" s="1"/>
      <c r="D151" s="1"/>
      <c r="E151" s="1"/>
      <c r="F151" s="1"/>
      <c r="G151" s="1"/>
      <c r="H151" s="1"/>
      <c r="I151" s="1"/>
      <c r="J151" s="3"/>
      <c r="K151" s="3"/>
      <c r="L151" s="3"/>
      <c r="M151" s="1"/>
      <c r="N151" s="1"/>
      <c r="O151" s="1"/>
      <c r="P151" s="1"/>
      <c r="Q151" s="1"/>
      <c r="R151" s="4"/>
      <c r="S151" s="4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>
      <c r="A152" s="1"/>
      <c r="B152" s="1"/>
      <c r="C152" s="1"/>
      <c r="D152" s="1"/>
      <c r="E152" s="1"/>
      <c r="F152" s="1"/>
      <c r="G152" s="1"/>
      <c r="H152" s="1"/>
      <c r="I152" s="1"/>
      <c r="J152" s="3"/>
      <c r="K152" s="3"/>
      <c r="L152" s="3"/>
      <c r="M152" s="1"/>
      <c r="N152" s="1"/>
      <c r="O152" s="1"/>
      <c r="P152" s="1"/>
      <c r="Q152" s="1"/>
      <c r="R152" s="4"/>
      <c r="S152" s="4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>
      <c r="A153" s="1"/>
      <c r="B153" s="1"/>
      <c r="C153" s="1"/>
      <c r="D153" s="1"/>
      <c r="E153" s="1"/>
      <c r="F153" s="1"/>
      <c r="G153" s="1"/>
      <c r="H153" s="1"/>
      <c r="I153" s="1"/>
      <c r="J153" s="3"/>
      <c r="K153" s="3"/>
      <c r="L153" s="3"/>
      <c r="M153" s="1"/>
      <c r="N153" s="1"/>
      <c r="O153" s="1"/>
      <c r="P153" s="1"/>
      <c r="Q153" s="1"/>
      <c r="R153" s="4"/>
      <c r="S153" s="4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>
      <c r="A154" s="1"/>
      <c r="B154" s="1"/>
      <c r="C154" s="1"/>
      <c r="D154" s="1"/>
      <c r="E154" s="1"/>
      <c r="F154" s="1"/>
      <c r="G154" s="1"/>
      <c r="H154" s="1"/>
      <c r="I154" s="1"/>
      <c r="J154" s="3"/>
      <c r="K154" s="3"/>
      <c r="L154" s="3"/>
      <c r="M154" s="1"/>
      <c r="N154" s="1"/>
      <c r="O154" s="1"/>
      <c r="P154" s="1"/>
      <c r="Q154" s="1"/>
      <c r="R154" s="4"/>
      <c r="S154" s="4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>
      <c r="A155" s="1"/>
      <c r="B155" s="1"/>
      <c r="C155" s="1"/>
      <c r="D155" s="1"/>
      <c r="E155" s="1"/>
      <c r="F155" s="1"/>
      <c r="G155" s="1"/>
      <c r="H155" s="1"/>
      <c r="I155" s="1"/>
      <c r="J155" s="3"/>
      <c r="K155" s="3"/>
      <c r="L155" s="3"/>
      <c r="M155" s="1"/>
      <c r="N155" s="1"/>
      <c r="O155" s="1"/>
      <c r="P155" s="1"/>
      <c r="Q155" s="1"/>
      <c r="R155" s="4"/>
      <c r="S155" s="4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>
      <c r="A156" s="1"/>
      <c r="B156" s="1"/>
      <c r="C156" s="1"/>
      <c r="D156" s="1"/>
      <c r="E156" s="1"/>
      <c r="F156" s="1"/>
      <c r="G156" s="1"/>
      <c r="H156" s="1"/>
      <c r="I156" s="1"/>
      <c r="J156" s="3"/>
      <c r="K156" s="3"/>
      <c r="L156" s="3"/>
      <c r="M156" s="1"/>
      <c r="N156" s="1"/>
      <c r="O156" s="1"/>
      <c r="P156" s="1"/>
      <c r="Q156" s="1"/>
      <c r="R156" s="4"/>
      <c r="S156" s="4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>
      <c r="A157" s="1"/>
      <c r="B157" s="1"/>
      <c r="C157" s="1"/>
      <c r="D157" s="1"/>
      <c r="E157" s="1"/>
      <c r="F157" s="1"/>
      <c r="G157" s="1"/>
      <c r="H157" s="1"/>
      <c r="I157" s="1"/>
      <c r="J157" s="3"/>
      <c r="K157" s="3"/>
      <c r="L157" s="3"/>
      <c r="M157" s="1"/>
      <c r="N157" s="1"/>
      <c r="O157" s="1"/>
      <c r="P157" s="1"/>
      <c r="Q157" s="1"/>
      <c r="R157" s="4"/>
      <c r="S157" s="4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>
      <c r="A158" s="1"/>
      <c r="B158" s="1"/>
      <c r="C158" s="1"/>
      <c r="D158" s="1"/>
      <c r="E158" s="1"/>
      <c r="F158" s="1"/>
      <c r="G158" s="1"/>
      <c r="H158" s="1"/>
      <c r="I158" s="1"/>
      <c r="J158" s="3"/>
      <c r="K158" s="3"/>
      <c r="L158" s="3"/>
      <c r="M158" s="1"/>
      <c r="N158" s="1"/>
      <c r="O158" s="1"/>
      <c r="P158" s="1"/>
      <c r="Q158" s="1"/>
      <c r="R158" s="4"/>
      <c r="S158" s="4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>
      <c r="A159" s="1"/>
      <c r="B159" s="1"/>
      <c r="C159" s="1"/>
      <c r="D159" s="1"/>
      <c r="E159" s="1"/>
      <c r="F159" s="1"/>
      <c r="G159" s="1"/>
      <c r="H159" s="1"/>
      <c r="I159" s="1"/>
      <c r="J159" s="3"/>
      <c r="K159" s="3"/>
      <c r="L159" s="3"/>
      <c r="M159" s="1"/>
      <c r="N159" s="1"/>
      <c r="O159" s="1"/>
      <c r="P159" s="1"/>
      <c r="Q159" s="1"/>
      <c r="R159" s="4"/>
      <c r="S159" s="4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>
      <c r="A160" s="1"/>
      <c r="B160" s="1"/>
      <c r="C160" s="1"/>
      <c r="D160" s="1"/>
      <c r="E160" s="1"/>
      <c r="F160" s="1"/>
      <c r="G160" s="1"/>
      <c r="H160" s="1"/>
      <c r="I160" s="1"/>
      <c r="J160" s="3"/>
      <c r="K160" s="3"/>
      <c r="L160" s="3"/>
      <c r="M160" s="1"/>
      <c r="N160" s="1"/>
      <c r="O160" s="1"/>
      <c r="P160" s="1"/>
      <c r="Q160" s="1"/>
      <c r="R160" s="4"/>
      <c r="S160" s="4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>
      <c r="A161" s="1"/>
      <c r="B161" s="1"/>
      <c r="C161" s="1"/>
      <c r="D161" s="1"/>
      <c r="E161" s="1"/>
      <c r="F161" s="1"/>
      <c r="G161" s="1"/>
      <c r="H161" s="1"/>
      <c r="I161" s="1"/>
      <c r="J161" s="3"/>
      <c r="K161" s="3"/>
      <c r="L161" s="3"/>
      <c r="M161" s="1"/>
      <c r="N161" s="1"/>
      <c r="O161" s="1"/>
      <c r="P161" s="1"/>
      <c r="Q161" s="1"/>
      <c r="R161" s="4"/>
      <c r="S161" s="4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>
      <c r="A162" s="1"/>
      <c r="B162" s="1"/>
      <c r="C162" s="1"/>
      <c r="D162" s="1"/>
      <c r="E162" s="1"/>
      <c r="F162" s="1"/>
      <c r="G162" s="1"/>
      <c r="H162" s="1"/>
      <c r="I162" s="1"/>
      <c r="J162" s="3"/>
      <c r="K162" s="3"/>
      <c r="L162" s="3"/>
      <c r="M162" s="1"/>
      <c r="N162" s="1"/>
      <c r="O162" s="1"/>
      <c r="P162" s="1"/>
      <c r="Q162" s="1"/>
      <c r="R162" s="4"/>
      <c r="S162" s="4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>
      <c r="A163" s="1"/>
      <c r="B163" s="1"/>
      <c r="C163" s="1"/>
      <c r="D163" s="1"/>
      <c r="E163" s="1"/>
      <c r="F163" s="1"/>
      <c r="G163" s="1"/>
      <c r="H163" s="1"/>
      <c r="I163" s="1"/>
      <c r="J163" s="3"/>
      <c r="K163" s="3"/>
      <c r="L163" s="3"/>
      <c r="M163" s="1"/>
      <c r="N163" s="1"/>
      <c r="O163" s="1"/>
      <c r="P163" s="1"/>
      <c r="Q163" s="1"/>
      <c r="R163" s="4"/>
      <c r="S163" s="4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>
      <c r="A164" s="1"/>
      <c r="B164" s="1"/>
      <c r="C164" s="1"/>
      <c r="D164" s="1"/>
      <c r="E164" s="1"/>
      <c r="F164" s="1"/>
      <c r="G164" s="1"/>
      <c r="H164" s="1"/>
      <c r="I164" s="1"/>
      <c r="J164" s="3"/>
      <c r="K164" s="3"/>
      <c r="L164" s="3"/>
      <c r="M164" s="1"/>
      <c r="N164" s="1"/>
      <c r="O164" s="1"/>
      <c r="P164" s="1"/>
      <c r="Q164" s="1"/>
      <c r="R164" s="4"/>
      <c r="S164" s="4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>
      <c r="A165" s="1"/>
      <c r="B165" s="1"/>
      <c r="C165" s="1"/>
      <c r="D165" s="1"/>
      <c r="E165" s="1"/>
      <c r="F165" s="1"/>
      <c r="G165" s="1"/>
      <c r="H165" s="1"/>
      <c r="I165" s="1"/>
      <c r="J165" s="3"/>
      <c r="K165" s="3"/>
      <c r="L165" s="3"/>
      <c r="M165" s="1"/>
      <c r="N165" s="1"/>
      <c r="O165" s="1"/>
      <c r="P165" s="1"/>
      <c r="Q165" s="1"/>
      <c r="R165" s="4"/>
      <c r="S165" s="4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>
      <c r="A166" s="1"/>
      <c r="B166" s="1"/>
      <c r="C166" s="1"/>
      <c r="D166" s="1"/>
      <c r="E166" s="1"/>
      <c r="F166" s="1"/>
      <c r="G166" s="1"/>
      <c r="H166" s="1"/>
      <c r="I166" s="1"/>
      <c r="J166" s="3"/>
      <c r="K166" s="3"/>
      <c r="L166" s="3"/>
      <c r="M166" s="1"/>
      <c r="N166" s="1"/>
      <c r="O166" s="1"/>
      <c r="P166" s="1"/>
      <c r="Q166" s="1"/>
      <c r="R166" s="4"/>
      <c r="S166" s="4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>
      <c r="A167" s="1"/>
      <c r="B167" s="1"/>
      <c r="C167" s="1"/>
      <c r="D167" s="1"/>
      <c r="E167" s="1"/>
      <c r="F167" s="1"/>
      <c r="G167" s="1"/>
      <c r="H167" s="1"/>
      <c r="I167" s="1"/>
      <c r="J167" s="3"/>
      <c r="K167" s="3"/>
      <c r="L167" s="3"/>
      <c r="M167" s="1"/>
      <c r="N167" s="1"/>
      <c r="O167" s="1"/>
      <c r="P167" s="1"/>
      <c r="Q167" s="1"/>
      <c r="R167" s="4"/>
      <c r="S167" s="4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>
      <c r="A168" s="1"/>
      <c r="B168" s="1"/>
      <c r="C168" s="1"/>
      <c r="D168" s="1"/>
      <c r="E168" s="1"/>
      <c r="F168" s="1"/>
      <c r="G168" s="1"/>
      <c r="H168" s="1"/>
      <c r="I168" s="1"/>
      <c r="J168" s="3"/>
      <c r="K168" s="3"/>
      <c r="L168" s="3"/>
      <c r="M168" s="1"/>
      <c r="N168" s="1"/>
      <c r="O168" s="1"/>
      <c r="P168" s="1"/>
      <c r="Q168" s="1"/>
      <c r="R168" s="4"/>
      <c r="S168" s="4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>
      <c r="A169" s="1"/>
      <c r="B169" s="1"/>
      <c r="C169" s="1"/>
      <c r="D169" s="1"/>
      <c r="E169" s="1"/>
      <c r="F169" s="1"/>
      <c r="G169" s="1"/>
      <c r="H169" s="1"/>
      <c r="I169" s="1"/>
      <c r="J169" s="3"/>
      <c r="K169" s="3"/>
      <c r="L169" s="3"/>
      <c r="M169" s="1"/>
      <c r="N169" s="1"/>
      <c r="O169" s="1"/>
      <c r="P169" s="1"/>
      <c r="Q169" s="1"/>
      <c r="R169" s="4"/>
      <c r="S169" s="4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>
      <c r="A170" s="1"/>
      <c r="B170" s="1"/>
      <c r="C170" s="1"/>
      <c r="D170" s="1"/>
      <c r="E170" s="1"/>
      <c r="F170" s="1"/>
      <c r="G170" s="1"/>
      <c r="H170" s="1"/>
      <c r="I170" s="1"/>
      <c r="J170" s="3"/>
      <c r="K170" s="3"/>
      <c r="L170" s="3"/>
      <c r="M170" s="1"/>
      <c r="N170" s="1"/>
      <c r="O170" s="1"/>
      <c r="P170" s="1"/>
      <c r="Q170" s="1"/>
      <c r="R170" s="4"/>
      <c r="S170" s="4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>
      <c r="A171" s="1"/>
      <c r="B171" s="1"/>
      <c r="C171" s="1"/>
      <c r="D171" s="1"/>
      <c r="E171" s="1"/>
      <c r="F171" s="1"/>
      <c r="G171" s="1"/>
      <c r="H171" s="1"/>
      <c r="I171" s="1"/>
      <c r="J171" s="3"/>
      <c r="K171" s="3"/>
      <c r="L171" s="3"/>
      <c r="M171" s="1"/>
      <c r="N171" s="1"/>
      <c r="O171" s="1"/>
      <c r="P171" s="1"/>
      <c r="Q171" s="1"/>
      <c r="R171" s="4"/>
      <c r="S171" s="4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>
      <c r="A172" s="1"/>
      <c r="B172" s="1"/>
      <c r="C172" s="1"/>
      <c r="D172" s="1"/>
      <c r="E172" s="1"/>
      <c r="F172" s="1"/>
      <c r="G172" s="1"/>
      <c r="H172" s="1"/>
      <c r="I172" s="1"/>
      <c r="J172" s="3"/>
      <c r="K172" s="3"/>
      <c r="L172" s="3"/>
      <c r="M172" s="1"/>
      <c r="N172" s="1"/>
      <c r="O172" s="1"/>
      <c r="P172" s="1"/>
      <c r="Q172" s="1"/>
      <c r="R172" s="4"/>
      <c r="S172" s="4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>
      <c r="A173" s="1"/>
      <c r="B173" s="1"/>
      <c r="C173" s="1"/>
      <c r="D173" s="1"/>
      <c r="E173" s="1"/>
      <c r="F173" s="1"/>
      <c r="G173" s="1"/>
      <c r="H173" s="1"/>
      <c r="I173" s="1"/>
      <c r="J173" s="3"/>
      <c r="K173" s="3"/>
      <c r="L173" s="3"/>
      <c r="M173" s="1"/>
      <c r="N173" s="1"/>
      <c r="O173" s="1"/>
      <c r="P173" s="1"/>
      <c r="Q173" s="1"/>
      <c r="R173" s="4"/>
      <c r="S173" s="4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>
      <c r="A174" s="1"/>
      <c r="B174" s="1"/>
      <c r="C174" s="1"/>
      <c r="D174" s="1"/>
      <c r="E174" s="1"/>
      <c r="F174" s="1"/>
      <c r="G174" s="1"/>
      <c r="H174" s="1"/>
      <c r="I174" s="1"/>
      <c r="J174" s="3"/>
      <c r="K174" s="3"/>
      <c r="L174" s="3"/>
      <c r="M174" s="1"/>
      <c r="N174" s="1"/>
      <c r="O174" s="1"/>
      <c r="P174" s="1"/>
      <c r="Q174" s="1"/>
      <c r="R174" s="4"/>
      <c r="S174" s="4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>
      <c r="A175" s="1"/>
      <c r="B175" s="1"/>
      <c r="C175" s="1"/>
      <c r="D175" s="1"/>
      <c r="E175" s="1"/>
      <c r="F175" s="1"/>
      <c r="G175" s="1"/>
      <c r="H175" s="1"/>
      <c r="I175" s="1"/>
      <c r="J175" s="3"/>
      <c r="K175" s="3"/>
      <c r="L175" s="3"/>
      <c r="M175" s="1"/>
      <c r="N175" s="1"/>
      <c r="O175" s="1"/>
      <c r="P175" s="1"/>
      <c r="Q175" s="1"/>
      <c r="R175" s="4"/>
      <c r="S175" s="4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>
      <c r="A176" s="1"/>
      <c r="B176" s="1"/>
      <c r="C176" s="1"/>
      <c r="D176" s="1"/>
      <c r="E176" s="1"/>
      <c r="F176" s="1"/>
      <c r="G176" s="1"/>
      <c r="H176" s="1"/>
      <c r="I176" s="1"/>
      <c r="J176" s="3"/>
      <c r="K176" s="3"/>
      <c r="L176" s="3"/>
      <c r="M176" s="1"/>
      <c r="N176" s="1"/>
      <c r="O176" s="1"/>
      <c r="P176" s="1"/>
      <c r="Q176" s="1"/>
      <c r="R176" s="4"/>
      <c r="S176" s="4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>
      <c r="A177" s="1"/>
      <c r="B177" s="1"/>
      <c r="C177" s="1"/>
      <c r="D177" s="1"/>
      <c r="E177" s="1"/>
      <c r="F177" s="1"/>
      <c r="G177" s="1"/>
      <c r="H177" s="1"/>
      <c r="I177" s="1"/>
      <c r="J177" s="3"/>
      <c r="K177" s="3"/>
      <c r="L177" s="3"/>
      <c r="M177" s="1"/>
      <c r="N177" s="1"/>
      <c r="O177" s="1"/>
      <c r="P177" s="1"/>
      <c r="Q177" s="1"/>
      <c r="R177" s="4"/>
      <c r="S177" s="4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>
      <c r="A178" s="1"/>
      <c r="B178" s="1"/>
      <c r="C178" s="1"/>
      <c r="D178" s="1"/>
      <c r="E178" s="1"/>
      <c r="F178" s="1"/>
      <c r="G178" s="1"/>
      <c r="H178" s="1"/>
      <c r="I178" s="1"/>
      <c r="J178" s="3"/>
      <c r="K178" s="3"/>
      <c r="L178" s="3"/>
      <c r="M178" s="1"/>
      <c r="N178" s="1"/>
      <c r="O178" s="1"/>
      <c r="P178" s="1"/>
      <c r="Q178" s="1"/>
      <c r="R178" s="4"/>
      <c r="S178" s="4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>
      <c r="A179" s="1"/>
      <c r="B179" s="1"/>
      <c r="C179" s="1"/>
      <c r="D179" s="1"/>
      <c r="E179" s="1"/>
      <c r="F179" s="1"/>
      <c r="G179" s="1"/>
      <c r="H179" s="1"/>
      <c r="I179" s="1"/>
      <c r="J179" s="3"/>
      <c r="K179" s="3"/>
      <c r="L179" s="3"/>
      <c r="M179" s="1"/>
      <c r="N179" s="1"/>
      <c r="O179" s="1"/>
      <c r="P179" s="1"/>
      <c r="Q179" s="1"/>
      <c r="R179" s="4"/>
      <c r="S179" s="4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>
      <c r="A180" s="1"/>
      <c r="B180" s="1"/>
      <c r="C180" s="1"/>
      <c r="D180" s="1"/>
      <c r="E180" s="1"/>
      <c r="F180" s="1"/>
      <c r="G180" s="1"/>
      <c r="H180" s="1"/>
      <c r="I180" s="1"/>
      <c r="J180" s="3"/>
      <c r="K180" s="3"/>
      <c r="L180" s="3"/>
      <c r="M180" s="1"/>
      <c r="N180" s="1"/>
      <c r="O180" s="1"/>
      <c r="P180" s="1"/>
      <c r="Q180" s="1"/>
      <c r="R180" s="4"/>
      <c r="S180" s="4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>
      <c r="A181" s="1"/>
      <c r="B181" s="1"/>
      <c r="C181" s="1"/>
      <c r="D181" s="1"/>
      <c r="E181" s="1"/>
      <c r="F181" s="1"/>
      <c r="G181" s="1"/>
      <c r="H181" s="1"/>
      <c r="I181" s="1"/>
      <c r="J181" s="3"/>
      <c r="K181" s="3"/>
      <c r="L181" s="3"/>
      <c r="M181" s="1"/>
      <c r="N181" s="1"/>
      <c r="O181" s="1"/>
      <c r="P181" s="1"/>
      <c r="Q181" s="1"/>
      <c r="R181" s="4"/>
      <c r="S181" s="4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>
      <c r="A182" s="1"/>
      <c r="B182" s="1"/>
      <c r="C182" s="1"/>
      <c r="D182" s="1"/>
      <c r="E182" s="1"/>
      <c r="F182" s="1"/>
      <c r="G182" s="1"/>
      <c r="H182" s="1"/>
      <c r="I182" s="1"/>
      <c r="J182" s="3"/>
      <c r="K182" s="3"/>
      <c r="L182" s="3"/>
      <c r="M182" s="1"/>
      <c r="N182" s="1"/>
      <c r="O182" s="1"/>
      <c r="P182" s="1"/>
      <c r="Q182" s="1"/>
      <c r="R182" s="4"/>
      <c r="S182" s="4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>
      <c r="A183" s="1"/>
      <c r="B183" s="1"/>
      <c r="C183" s="1"/>
      <c r="D183" s="1"/>
      <c r="E183" s="1"/>
      <c r="F183" s="1"/>
      <c r="G183" s="1"/>
      <c r="H183" s="1"/>
      <c r="I183" s="1"/>
      <c r="J183" s="3"/>
      <c r="K183" s="3"/>
      <c r="L183" s="3"/>
      <c r="M183" s="1"/>
      <c r="N183" s="1"/>
      <c r="O183" s="1"/>
      <c r="P183" s="1"/>
      <c r="Q183" s="1"/>
      <c r="R183" s="4"/>
      <c r="S183" s="4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>
      <c r="A184" s="1"/>
      <c r="B184" s="1"/>
      <c r="C184" s="1"/>
      <c r="D184" s="1"/>
      <c r="E184" s="1"/>
      <c r="F184" s="1"/>
      <c r="G184" s="1"/>
      <c r="H184" s="1"/>
      <c r="I184" s="1"/>
      <c r="J184" s="3"/>
      <c r="K184" s="3"/>
      <c r="L184" s="3"/>
      <c r="M184" s="1"/>
      <c r="N184" s="1"/>
      <c r="O184" s="1"/>
      <c r="P184" s="1"/>
      <c r="Q184" s="1"/>
      <c r="R184" s="4"/>
      <c r="S184" s="4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>
      <c r="A185" s="1"/>
      <c r="B185" s="1"/>
      <c r="C185" s="1"/>
      <c r="D185" s="1"/>
      <c r="E185" s="1"/>
      <c r="F185" s="1"/>
      <c r="G185" s="1"/>
      <c r="H185" s="1"/>
      <c r="I185" s="1"/>
      <c r="J185" s="3"/>
      <c r="K185" s="3"/>
      <c r="L185" s="3"/>
      <c r="M185" s="1"/>
      <c r="N185" s="1"/>
      <c r="O185" s="1"/>
      <c r="P185" s="1"/>
      <c r="Q185" s="1"/>
      <c r="R185" s="4"/>
      <c r="S185" s="4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>
      <c r="A186" s="1"/>
      <c r="B186" s="1"/>
      <c r="C186" s="1"/>
      <c r="D186" s="1"/>
      <c r="E186" s="1"/>
      <c r="F186" s="1"/>
      <c r="G186" s="1"/>
      <c r="H186" s="1"/>
      <c r="I186" s="1"/>
      <c r="J186" s="3"/>
      <c r="K186" s="3"/>
      <c r="L186" s="3"/>
      <c r="M186" s="1"/>
      <c r="N186" s="1"/>
      <c r="O186" s="1"/>
      <c r="P186" s="1"/>
      <c r="Q186" s="1"/>
      <c r="R186" s="4"/>
      <c r="S186" s="4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>
      <c r="A187" s="1"/>
      <c r="B187" s="1"/>
      <c r="C187" s="1"/>
      <c r="D187" s="1"/>
      <c r="E187" s="1"/>
      <c r="F187" s="1"/>
      <c r="G187" s="1"/>
      <c r="H187" s="1"/>
      <c r="I187" s="1"/>
      <c r="J187" s="3"/>
      <c r="K187" s="3"/>
      <c r="L187" s="3"/>
      <c r="M187" s="1"/>
      <c r="N187" s="1"/>
      <c r="O187" s="1"/>
      <c r="P187" s="1"/>
      <c r="Q187" s="1"/>
      <c r="R187" s="4"/>
      <c r="S187" s="4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>
      <c r="A188" s="1"/>
      <c r="B188" s="1"/>
      <c r="C188" s="1"/>
      <c r="D188" s="1"/>
      <c r="E188" s="1"/>
      <c r="F188" s="1"/>
      <c r="G188" s="1"/>
      <c r="H188" s="1"/>
      <c r="I188" s="1"/>
      <c r="J188" s="3"/>
      <c r="K188" s="3"/>
      <c r="L188" s="3"/>
      <c r="M188" s="1"/>
      <c r="N188" s="1"/>
      <c r="O188" s="1"/>
      <c r="P188" s="1"/>
      <c r="Q188" s="1"/>
      <c r="R188" s="4"/>
      <c r="S188" s="4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>
      <c r="A189" s="1"/>
      <c r="B189" s="1"/>
      <c r="C189" s="1"/>
      <c r="D189" s="1"/>
      <c r="E189" s="1"/>
      <c r="F189" s="1"/>
      <c r="G189" s="1"/>
      <c r="H189" s="1"/>
      <c r="I189" s="1"/>
      <c r="J189" s="3"/>
      <c r="K189" s="3"/>
      <c r="L189" s="3"/>
      <c r="M189" s="1"/>
      <c r="N189" s="1"/>
      <c r="O189" s="1"/>
      <c r="P189" s="1"/>
      <c r="Q189" s="1"/>
      <c r="R189" s="4"/>
      <c r="S189" s="4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</sheetData>
  <phoneticPr fontId="6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底稿source link">
    <tabColor rgb="FFFFFFFF"/>
  </sheetPr>
  <dimension ref="A2:B12"/>
  <sheetViews>
    <sheetView tabSelected="1" workbookViewId="0">
      <selection activeCell="B9" sqref="B9"/>
    </sheetView>
  </sheetViews>
  <sheetFormatPr defaultRowHeight="13"/>
  <cols>
    <col min="1" max="1" width="35.36328125" customWidth="1"/>
    <col min="2" max="2" width="58.6328125" customWidth="1"/>
  </cols>
  <sheetData>
    <row r="2" spans="1:2">
      <c r="A2" s="223" t="s">
        <v>46</v>
      </c>
      <c r="B2" s="222"/>
    </row>
    <row r="3" spans="1:2">
      <c r="A3" s="112" t="s">
        <v>37</v>
      </c>
      <c r="B3" s="221" t="s">
        <v>72</v>
      </c>
    </row>
    <row r="4" spans="1:2">
      <c r="A4" s="105" t="s">
        <v>38</v>
      </c>
      <c r="B4" s="222"/>
    </row>
    <row r="5" spans="1:2">
      <c r="A5" s="105" t="s">
        <v>39</v>
      </c>
      <c r="B5" s="222"/>
    </row>
    <row r="6" spans="1:2">
      <c r="A6" s="113" t="s">
        <v>40</v>
      </c>
      <c r="B6" s="224" t="s">
        <v>75</v>
      </c>
    </row>
    <row r="7" spans="1:2">
      <c r="A7" s="113" t="s">
        <v>41</v>
      </c>
      <c r="B7" s="222"/>
    </row>
    <row r="8" spans="1:2" ht="61" customHeight="1">
      <c r="A8" s="117" t="s">
        <v>47</v>
      </c>
      <c r="B8" s="222"/>
    </row>
    <row r="9" spans="1:2" ht="41" customHeight="1">
      <c r="A9" s="120" t="s">
        <v>43</v>
      </c>
      <c r="B9" s="156" t="s">
        <v>73</v>
      </c>
    </row>
    <row r="12" spans="1:2" ht="78">
      <c r="A12" t="s">
        <v>48</v>
      </c>
      <c r="B12" s="157" t="s">
        <v>74</v>
      </c>
    </row>
  </sheetData>
  <mergeCells count="3">
    <mergeCell ref="B3:B5"/>
    <mergeCell ref="B6:B8"/>
    <mergeCell ref="A2:B2"/>
  </mergeCells>
  <phoneticPr fontId="68" type="noConversion"/>
  <hyperlinks>
    <hyperlink ref="B3" r:id="rId1" xr:uid="{00000000-0004-0000-0600-000000000000}"/>
    <hyperlink ref="B9" r:id="rId2" xr:uid="{00000000-0004-0000-0600-000002000000}"/>
    <hyperlink ref="B12" r:id="rId3" xr:uid="{00000000-0004-0000-0600-000004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信贷市场测算-月度</vt:lpstr>
      <vt:lpstr>信贷市场测算-年度</vt:lpstr>
      <vt:lpstr>底稿source link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张伯楠-Rafael</dc:creator>
  <cp:lastModifiedBy>张伯楠-Rafael</cp:lastModifiedBy>
  <dcterms:created xsi:type="dcterms:W3CDTF">2026-05-08T16:37:08Z</dcterms:created>
  <dcterms:modified xsi:type="dcterms:W3CDTF">2026-05-25T03:15:47Z</dcterms:modified>
</cp:coreProperties>
</file>